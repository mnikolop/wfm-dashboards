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namedSheetViews/namedSheetView2.xml" ContentType="application/vnd.ms-excel.namedsheetview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defaultThemeVersion="166925"/>
  <mc:AlternateContent xmlns:mc="http://schemas.openxmlformats.org/markup-compatibility/2006">
    <mc:Choice Requires="x15">
      <x15ac:absPath xmlns:x15ac="http://schemas.microsoft.com/office/spreadsheetml/2010/11/ac" url="https://influenceab-my.sharepoint.com/personal/markella_nikolopoulou-themeli_adage_se/Documents/Dokument/Cases/wfm-dashboards/1-Data-model/"/>
    </mc:Choice>
  </mc:AlternateContent>
  <xr:revisionPtr revIDLastSave="6" documentId="8_{921B36E9-0AF8-48AD-8315-9CB3BE0F3CF5}" xr6:coauthVersionLast="47" xr6:coauthVersionMax="47" xr10:uidLastSave="{8586BDCC-4E76-4A95-A44F-BBCE0835801C}"/>
  <bookViews>
    <workbookView xWindow="-120" yWindow="-120" windowWidth="29040" windowHeight="15840" tabRatio="762" xr2:uid="{55DB13E1-91A8-4C91-A9BA-E4DEFE019142}"/>
  </bookViews>
  <sheets>
    <sheet name="Data Information Catalog" sheetId="28" r:id="rId1"/>
    <sheet name="Data Information Catalog - Smhl" sheetId="32" r:id="rId2"/>
    <sheet name="Version" sheetId="31" r:id="rId3"/>
    <sheet name="Sankey" sheetId="30" r:id="rId4"/>
    <sheet name="Schedule transfered" sheetId="29" state="hidden" r:id="rId5"/>
    <sheet name="TimePunch partly transfered" sheetId="27" state="hidden" r:id="rId6"/>
    <sheet name="Report fields to name" sheetId="25" state="hidden" r:id="rId7"/>
    <sheet name="GetScheduleV3" sheetId="16" r:id="rId8"/>
    <sheet name="GetDeletedSchedules" sheetId="19" r:id="rId9"/>
    <sheet name="GetTimepunches" sheetId="6" r:id="rId10"/>
    <sheet name="GetUnits" sheetId="5" r:id="rId11"/>
    <sheet name="GetPayrollV2" sheetId="14" r:id="rId12"/>
    <sheet name="Tags" sheetId="8" r:id="rId13"/>
    <sheet name="SF Person" sheetId="21" r:id="rId14"/>
  </sheets>
  <definedNames>
    <definedName name="_19qbthxn5fv5" localSheetId="7">GetScheduleV3!$B$107</definedName>
    <definedName name="_xlnm._FilterDatabase" localSheetId="0" hidden="1">'Data Information Catalog'!$A$3:$T$169</definedName>
    <definedName name="_xlnm._FilterDatabase" localSheetId="1" hidden="1">'Data Information Catalog - Smhl'!$A$3:$BF$331</definedName>
    <definedName name="_xlnm._FilterDatabase" localSheetId="8" hidden="1">GetDeletedSchedules!$B$3:$E$64</definedName>
    <definedName name="_xlnm._FilterDatabase" localSheetId="11" hidden="1">GetPayrollV2!$B$2:$E$46</definedName>
    <definedName name="_xlnm._FilterDatabase" localSheetId="7" hidden="1">GetScheduleV3!$B$3:$E$81</definedName>
    <definedName name="_xlnm._FilterDatabase" localSheetId="9" hidden="1">GetTimepunches!$B$4:$E$4</definedName>
    <definedName name="_xlnm._FilterDatabase" localSheetId="10" hidden="1">GetUnits!$C$5:$F$5</definedName>
    <definedName name="_xlnm._FilterDatabase" localSheetId="6" hidden="1">'Report fields to name'!$A$2:$V$95</definedName>
    <definedName name="_xlnm._FilterDatabase" localSheetId="4" hidden="1">'Schedule transfered'!$A$3:$AD$3</definedName>
    <definedName name="_xlnm._FilterDatabase" localSheetId="13" hidden="1">'SF Person'!$A$1:$C$51</definedName>
    <definedName name="_koudkehd0q41" localSheetId="7">GetScheduleV3!$B$108</definedName>
    <definedName name="_ksut3c61bs9j" localSheetId="7">GetScheduleV3!$B$87</definedName>
    <definedName name="_ok85lg6x2a18" localSheetId="7">GetScheduleV3!$B$99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W286" i="32" l="1"/>
  <c r="AV286" i="32"/>
  <c r="AU286" i="32"/>
  <c r="AT286" i="32"/>
  <c r="AS286" i="32"/>
  <c r="AR286" i="32"/>
  <c r="AQ286" i="32"/>
  <c r="AP286" i="32"/>
  <c r="AO286" i="32"/>
  <c r="V283" i="32"/>
  <c r="AM283" i="32" s="1"/>
  <c r="V282" i="32"/>
  <c r="AM282" i="32" s="1"/>
  <c r="AK268" i="32"/>
  <c r="AC267" i="32"/>
  <c r="AC266" i="32"/>
  <c r="AC265" i="32"/>
  <c r="AC264" i="32"/>
  <c r="AC262" i="32"/>
  <c r="AC261" i="32"/>
  <c r="AA223" i="32"/>
  <c r="V222" i="32"/>
  <c r="V221" i="32"/>
  <c r="R202" i="32"/>
  <c r="Q202" i="32"/>
  <c r="Q201" i="32"/>
  <c r="AM201" i="32" s="1"/>
  <c r="AM200" i="32"/>
  <c r="AM199" i="32"/>
  <c r="AM198" i="32"/>
  <c r="AM197" i="32"/>
  <c r="Q191" i="32"/>
  <c r="AM190" i="32"/>
  <c r="AM189" i="32"/>
  <c r="AM188" i="32"/>
  <c r="AM187" i="32"/>
  <c r="AA155" i="32"/>
  <c r="AA154" i="32"/>
  <c r="AA145" i="32"/>
  <c r="AA144" i="32"/>
  <c r="AA143" i="32"/>
  <c r="AA142" i="32"/>
  <c r="AM140" i="32"/>
  <c r="AM135" i="32"/>
  <c r="AC135" i="32"/>
  <c r="AA135" i="32" s="1"/>
  <c r="AM126" i="32"/>
  <c r="Q119" i="32"/>
  <c r="Q118" i="32"/>
  <c r="Q117" i="32"/>
  <c r="Q116" i="32"/>
  <c r="Q115" i="32"/>
  <c r="V115" i="32" s="1"/>
  <c r="Q114" i="32"/>
  <c r="V114" i="32" s="1"/>
  <c r="Q113" i="32"/>
  <c r="V113" i="32" s="1"/>
  <c r="R110" i="32"/>
  <c r="Q110" i="32"/>
  <c r="R109" i="32"/>
  <c r="Q109" i="32"/>
  <c r="AM108" i="32"/>
  <c r="AM107" i="32"/>
  <c r="AM103" i="32"/>
  <c r="AM102" i="32"/>
  <c r="AM101" i="32"/>
  <c r="AM98" i="32"/>
  <c r="AM97" i="32"/>
  <c r="AA91" i="32"/>
  <c r="AW89" i="32"/>
  <c r="AV89" i="32"/>
  <c r="AU89" i="32"/>
  <c r="AT89" i="32"/>
  <c r="AS89" i="32"/>
  <c r="AQ89" i="32"/>
  <c r="AP89" i="32"/>
  <c r="AO89" i="32"/>
  <c r="AC89" i="32"/>
  <c r="AR89" i="32" s="1"/>
  <c r="AW88" i="32"/>
  <c r="AV88" i="32"/>
  <c r="AU88" i="32"/>
  <c r="AT88" i="32"/>
  <c r="AS88" i="32"/>
  <c r="AQ88" i="32"/>
  <c r="AP88" i="32"/>
  <c r="AO88" i="32"/>
  <c r="AC88" i="32"/>
  <c r="AR88" i="32" s="1"/>
  <c r="AW87" i="32"/>
  <c r="AV87" i="32"/>
  <c r="AU87" i="32"/>
  <c r="AT87" i="32"/>
  <c r="AS87" i="32"/>
  <c r="AQ87" i="32"/>
  <c r="AP87" i="32"/>
  <c r="AO87" i="32"/>
  <c r="AC87" i="32"/>
  <c r="AR87" i="32" s="1"/>
  <c r="AW86" i="32"/>
  <c r="AV86" i="32"/>
  <c r="AU86" i="32"/>
  <c r="AT86" i="32"/>
  <c r="AS86" i="32"/>
  <c r="AQ86" i="32"/>
  <c r="AP86" i="32"/>
  <c r="AO86" i="32"/>
  <c r="AC86" i="32"/>
  <c r="AR86" i="32" s="1"/>
  <c r="AW85" i="32"/>
  <c r="AV85" i="32"/>
  <c r="AU85" i="32"/>
  <c r="AT85" i="32"/>
  <c r="AS85" i="32"/>
  <c r="AQ85" i="32"/>
  <c r="AP85" i="32"/>
  <c r="AO85" i="32"/>
  <c r="AM85" i="32"/>
  <c r="AC85" i="32"/>
  <c r="AR85" i="32" s="1"/>
  <c r="AW84" i="32"/>
  <c r="AV84" i="32"/>
  <c r="AU84" i="32"/>
  <c r="AT84" i="32"/>
  <c r="AS84" i="32"/>
  <c r="AQ84" i="32"/>
  <c r="AP84" i="32"/>
  <c r="AO84" i="32"/>
  <c r="AM84" i="32"/>
  <c r="AC84" i="32"/>
  <c r="AR84" i="32" s="1"/>
  <c r="AC70" i="32"/>
  <c r="AC69" i="32"/>
  <c r="AC68" i="32"/>
  <c r="AC67" i="32"/>
  <c r="AC66" i="32"/>
  <c r="AC65" i="32"/>
  <c r="AC64" i="32"/>
  <c r="AW59" i="32"/>
  <c r="AT59" i="32"/>
  <c r="AS59" i="32"/>
  <c r="AQ59" i="32"/>
  <c r="AP59" i="32"/>
  <c r="AO59" i="32"/>
  <c r="AC59" i="32"/>
  <c r="AR59" i="32" s="1"/>
  <c r="AW58" i="32"/>
  <c r="AT58" i="32"/>
  <c r="AS58" i="32"/>
  <c r="AQ58" i="32"/>
  <c r="AP58" i="32"/>
  <c r="AO58" i="32"/>
  <c r="AC58" i="32"/>
  <c r="AR58" i="32" s="1"/>
  <c r="AW57" i="32"/>
  <c r="AT57" i="32"/>
  <c r="AS57" i="32"/>
  <c r="AQ57" i="32"/>
  <c r="AP57" i="32"/>
  <c r="AO57" i="32"/>
  <c r="AC57" i="32"/>
  <c r="AA57" i="32" s="1"/>
  <c r="AW56" i="32"/>
  <c r="AT56" i="32"/>
  <c r="AS56" i="32"/>
  <c r="AQ56" i="32"/>
  <c r="AP56" i="32"/>
  <c r="AO56" i="32"/>
  <c r="AC56" i="32"/>
  <c r="AA56" i="32" s="1"/>
  <c r="AW55" i="32"/>
  <c r="AT55" i="32"/>
  <c r="AS55" i="32"/>
  <c r="AQ55" i="32"/>
  <c r="AP55" i="32"/>
  <c r="AO55" i="32"/>
  <c r="AC55" i="32"/>
  <c r="AR55" i="32" s="1"/>
  <c r="AA55" i="32"/>
  <c r="AW54" i="32"/>
  <c r="AT54" i="32"/>
  <c r="AS54" i="32"/>
  <c r="AQ54" i="32"/>
  <c r="AP54" i="32"/>
  <c r="AO54" i="32"/>
  <c r="AC54" i="32"/>
  <c r="AA54" i="32" s="1"/>
  <c r="AW53" i="32"/>
  <c r="AT53" i="32"/>
  <c r="AS53" i="32"/>
  <c r="AQ53" i="32"/>
  <c r="AP53" i="32"/>
  <c r="AO53" i="32"/>
  <c r="AC53" i="32"/>
  <c r="AR53" i="32" s="1"/>
  <c r="AA53" i="32"/>
  <c r="AW52" i="32"/>
  <c r="AT52" i="32"/>
  <c r="AS52" i="32"/>
  <c r="AQ52" i="32"/>
  <c r="AP52" i="32"/>
  <c r="AO52" i="32"/>
  <c r="AC52" i="32"/>
  <c r="AR52" i="32" s="1"/>
  <c r="AW51" i="32"/>
  <c r="AT51" i="32"/>
  <c r="AS51" i="32"/>
  <c r="AQ51" i="32"/>
  <c r="AP51" i="32"/>
  <c r="AO51" i="32"/>
  <c r="AC51" i="32"/>
  <c r="AR51" i="32" s="1"/>
  <c r="AA51" i="32"/>
  <c r="AW50" i="32"/>
  <c r="AT50" i="32"/>
  <c r="AS50" i="32"/>
  <c r="AQ50" i="32"/>
  <c r="AP50" i="32"/>
  <c r="AO50" i="32"/>
  <c r="AC50" i="32"/>
  <c r="AR50" i="32" s="1"/>
  <c r="AA50" i="32"/>
  <c r="AW49" i="32"/>
  <c r="AT49" i="32"/>
  <c r="AS49" i="32"/>
  <c r="AQ49" i="32"/>
  <c r="AP49" i="32"/>
  <c r="AO49" i="32"/>
  <c r="AC49" i="32"/>
  <c r="AA49" i="32" s="1"/>
  <c r="AW48" i="32"/>
  <c r="AT48" i="32"/>
  <c r="AS48" i="32"/>
  <c r="AQ48" i="32"/>
  <c r="AP48" i="32"/>
  <c r="AO48" i="32"/>
  <c r="AC48" i="32"/>
  <c r="AA48" i="32" s="1"/>
  <c r="AW47" i="32"/>
  <c r="AT47" i="32"/>
  <c r="AS47" i="32"/>
  <c r="AQ47" i="32"/>
  <c r="AP47" i="32"/>
  <c r="AO47" i="32"/>
  <c r="AC47" i="32"/>
  <c r="AR47" i="32" s="1"/>
  <c r="AM46" i="32"/>
  <c r="AC46" i="32"/>
  <c r="V37" i="32"/>
  <c r="AC37" i="32" s="1"/>
  <c r="V36" i="32"/>
  <c r="AC36" i="32" s="1"/>
  <c r="V35" i="32"/>
  <c r="AM35" i="32" s="1"/>
  <c r="V34" i="32"/>
  <c r="AM34" i="32" s="1"/>
  <c r="AM33" i="32"/>
  <c r="V33" i="32"/>
  <c r="AC33" i="32" s="1"/>
  <c r="V32" i="32"/>
  <c r="AC32" i="32" s="1"/>
  <c r="V31" i="32"/>
  <c r="AC31" i="32" s="1"/>
  <c r="V30" i="32"/>
  <c r="AC30" i="32" s="1"/>
  <c r="AM29" i="32"/>
  <c r="V29" i="32"/>
  <c r="AC29" i="32" s="1"/>
  <c r="AW24" i="32"/>
  <c r="AV24" i="32"/>
  <c r="AU24" i="32"/>
  <c r="AT24" i="32"/>
  <c r="AS24" i="32"/>
  <c r="AR24" i="32"/>
  <c r="AQ24" i="32"/>
  <c r="AP24" i="32"/>
  <c r="AO24" i="32"/>
  <c r="AA24" i="32"/>
  <c r="AW23" i="32"/>
  <c r="AV23" i="32"/>
  <c r="AU23" i="32"/>
  <c r="AT23" i="32"/>
  <c r="AS23" i="32"/>
  <c r="AR23" i="32"/>
  <c r="AQ23" i="32"/>
  <c r="AP23" i="32"/>
  <c r="AO23" i="32"/>
  <c r="AW20" i="32"/>
  <c r="AV20" i="32"/>
  <c r="AU20" i="32"/>
  <c r="AT20" i="32"/>
  <c r="AS20" i="32"/>
  <c r="AR20" i="32"/>
  <c r="AQ20" i="32"/>
  <c r="AP20" i="32"/>
  <c r="AO20" i="32"/>
  <c r="AL20" i="32"/>
  <c r="AW16" i="32"/>
  <c r="AV16" i="32"/>
  <c r="AU16" i="32"/>
  <c r="AT16" i="32"/>
  <c r="AS16" i="32"/>
  <c r="AR16" i="32"/>
  <c r="AQ16" i="32"/>
  <c r="AP16" i="32"/>
  <c r="AO16" i="32"/>
  <c r="AW14" i="32"/>
  <c r="AV14" i="32"/>
  <c r="AU14" i="32"/>
  <c r="AT14" i="32"/>
  <c r="AS14" i="32"/>
  <c r="AR14" i="32"/>
  <c r="AQ14" i="32"/>
  <c r="AP14" i="32"/>
  <c r="AO14" i="32"/>
  <c r="AW13" i="32"/>
  <c r="AV13" i="32"/>
  <c r="AU13" i="32"/>
  <c r="AT13" i="32"/>
  <c r="AS13" i="32"/>
  <c r="AR13" i="32"/>
  <c r="AQ13" i="32"/>
  <c r="AP13" i="32"/>
  <c r="AO13" i="32"/>
  <c r="AW12" i="32"/>
  <c r="AV12" i="32"/>
  <c r="AU12" i="32"/>
  <c r="AT12" i="32"/>
  <c r="AS12" i="32"/>
  <c r="AR12" i="32"/>
  <c r="AQ12" i="32"/>
  <c r="AP12" i="32"/>
  <c r="AO12" i="32"/>
  <c r="AW11" i="32"/>
  <c r="AV11" i="32"/>
  <c r="AU11" i="32"/>
  <c r="AT11" i="32"/>
  <c r="AS11" i="32"/>
  <c r="AR11" i="32"/>
  <c r="AQ11" i="32"/>
  <c r="AP11" i="32"/>
  <c r="AO11" i="32"/>
  <c r="AW10" i="32"/>
  <c r="AV10" i="32"/>
  <c r="AU10" i="32"/>
  <c r="AT10" i="32"/>
  <c r="AS10" i="32"/>
  <c r="AR10" i="32"/>
  <c r="AQ10" i="32"/>
  <c r="AP10" i="32"/>
  <c r="AO10" i="32"/>
  <c r="AW9" i="32"/>
  <c r="AV9" i="32"/>
  <c r="AU9" i="32"/>
  <c r="AT9" i="32"/>
  <c r="AS9" i="32"/>
  <c r="AR9" i="32"/>
  <c r="AQ9" i="32"/>
  <c r="AP9" i="32"/>
  <c r="AO9" i="32"/>
  <c r="AW8" i="32"/>
  <c r="AV8" i="32"/>
  <c r="AU8" i="32"/>
  <c r="AT8" i="32"/>
  <c r="AS8" i="32"/>
  <c r="AR8" i="32"/>
  <c r="AQ8" i="32"/>
  <c r="AP8" i="32"/>
  <c r="AO8" i="32"/>
  <c r="AW7" i="32"/>
  <c r="AV7" i="32"/>
  <c r="AU7" i="32"/>
  <c r="AT7" i="32"/>
  <c r="AS7" i="32"/>
  <c r="AR7" i="32"/>
  <c r="AQ7" i="32"/>
  <c r="AP7" i="32"/>
  <c r="AO7" i="32"/>
  <c r="AW6" i="32"/>
  <c r="AV6" i="32"/>
  <c r="AU6" i="32"/>
  <c r="AT6" i="32"/>
  <c r="AS6" i="32"/>
  <c r="AR6" i="32"/>
  <c r="AQ6" i="32"/>
  <c r="AP6" i="32"/>
  <c r="AO6" i="32"/>
  <c r="AW4" i="32"/>
  <c r="AV4" i="32"/>
  <c r="AU4" i="32"/>
  <c r="AT4" i="32"/>
  <c r="AS4" i="32"/>
  <c r="AR4" i="32"/>
  <c r="AQ4" i="32"/>
  <c r="AP4" i="32"/>
  <c r="AO4" i="32"/>
  <c r="AM30" i="32" l="1"/>
  <c r="AA58" i="32"/>
  <c r="AA59" i="32"/>
  <c r="AA273" i="32" s="1"/>
  <c r="AV273" i="32"/>
  <c r="AW273" i="32"/>
  <c r="AM109" i="32"/>
  <c r="AM32" i="32"/>
  <c r="AM110" i="32"/>
  <c r="AP273" i="32"/>
  <c r="AR54" i="32"/>
  <c r="AR273" i="32" s="1"/>
  <c r="AQ273" i="32"/>
  <c r="AU273" i="32"/>
  <c r="AA47" i="32"/>
  <c r="AC35" i="32"/>
  <c r="AM273" i="32"/>
  <c r="AC34" i="32"/>
  <c r="AA52" i="32"/>
  <c r="AC282" i="32"/>
  <c r="AR48" i="32"/>
  <c r="AR56" i="32"/>
  <c r="AR49" i="32"/>
  <c r="AR57" i="32"/>
  <c r="AC283" i="32"/>
  <c r="AD18" i="29"/>
  <c r="AD19" i="29"/>
  <c r="AD20" i="29"/>
  <c r="AD21" i="29"/>
  <c r="AD22" i="29"/>
  <c r="AD23" i="29"/>
  <c r="AD24" i="29"/>
  <c r="AD25" i="29"/>
  <c r="AD26" i="29"/>
  <c r="AD27" i="29"/>
  <c r="AD28" i="29"/>
  <c r="AD29" i="29"/>
  <c r="AD30" i="29"/>
  <c r="AD31" i="29"/>
  <c r="AD17"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Magnus Vikström</author>
    <author>Markella Nikolopoulou-Themeli</author>
  </authors>
  <commentList>
    <comment ref="I3" authorId="0" shapeId="0" xr:uid="{3FBFA80D-5070-4327-AFF7-0A4EE772D0BB}">
      <text>
        <r>
          <rPr>
            <sz val="9"/>
            <color rgb="FF000000"/>
            <rFont val="Tahoma"/>
            <family val="2"/>
          </rPr>
          <t>Beskrivande namn av teknisk karaktär på engelska. Undvik förkortningar och varianter av redan vedertagna benamningar av info.objekt och attribut</t>
        </r>
      </text>
    </comment>
    <comment ref="J3" authorId="0" shapeId="0" xr:uid="{D29526F9-F41D-47EC-8E39-E0C05B11F14E}">
      <text>
        <r>
          <rPr>
            <sz val="11"/>
            <color theme="1"/>
            <rFont val="Calibri"/>
            <family val="2"/>
            <scheme val="minor"/>
          </rPr>
          <t>Suggestion to name data attribute in applications comsuming data through the Integration Platform</t>
        </r>
      </text>
    </comment>
    <comment ref="N3" authorId="0" shapeId="0" xr:uid="{47636E1F-0565-4DE7-8EBF-E5E8C9CA644F}">
      <text>
        <r>
          <rPr>
            <b/>
            <sz val="9"/>
            <color indexed="81"/>
            <rFont val="Tahoma"/>
            <family val="2"/>
          </rPr>
          <t>Column name from Integration</t>
        </r>
      </text>
    </comment>
    <comment ref="O3" authorId="0" shapeId="0" xr:uid="{249954E7-FE06-4354-9BED-91865B09505F}">
      <text>
        <r>
          <rPr>
            <b/>
            <sz val="9"/>
            <color indexed="81"/>
            <rFont val="Tahoma"/>
            <family val="2"/>
          </rPr>
          <t>Column name from Integration</t>
        </r>
      </text>
    </comment>
    <comment ref="R3" authorId="0" shapeId="0" xr:uid="{E763C193-8AAD-455C-8B1F-2D9A8A61B677}">
      <text>
        <r>
          <rPr>
            <b/>
            <sz val="9"/>
            <color indexed="81"/>
            <rFont val="Tahoma"/>
            <family val="2"/>
          </rPr>
          <t>Column name from Integration</t>
        </r>
      </text>
    </comment>
    <comment ref="S3" authorId="0" shapeId="0" xr:uid="{604F949D-AEA5-44DF-A3AE-6A6D9C7387C0}">
      <text>
        <r>
          <rPr>
            <b/>
            <sz val="9"/>
            <color indexed="81"/>
            <rFont val="Tahoma"/>
            <family val="2"/>
          </rPr>
          <t>Column name from Integration</t>
        </r>
      </text>
    </comment>
    <comment ref="N119" authorId="1" shapeId="0" xr:uid="{01E3D30F-6B13-4CF7-8193-02F94927757D}">
      <text>
        <r>
          <rPr>
            <b/>
            <sz val="9"/>
            <color indexed="81"/>
            <rFont val="Tahoma"/>
            <charset val="1"/>
          </rPr>
          <t>Markella Nikolopoulou-Themeli:</t>
        </r>
        <r>
          <rPr>
            <sz val="9"/>
            <color indexed="81"/>
            <rFont val="Tahoma"/>
            <charset val="1"/>
          </rPr>
          <t xml:space="preserve">
ServiceDelivery = Shift = Task</t>
        </r>
      </text>
    </comment>
    <comment ref="R119" authorId="1" shapeId="0" xr:uid="{C967CFA2-150E-4C93-9C84-9471360C5704}">
      <text>
        <r>
          <rPr>
            <b/>
            <sz val="9"/>
            <color indexed="81"/>
            <rFont val="Tahoma"/>
            <charset val="1"/>
          </rPr>
          <t>Markella Nikolopoulou-Themeli:</t>
        </r>
        <r>
          <rPr>
            <sz val="9"/>
            <color indexed="81"/>
            <rFont val="Tahoma"/>
            <charset val="1"/>
          </rPr>
          <t xml:space="preserve">
ServiceDelivery = Shift = Task</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Magnus Vikström</author>
  </authors>
  <commentList>
    <comment ref="K3" authorId="0" shapeId="0" xr:uid="{3A6F02C4-0D85-4E00-B75B-F4B29549BAFD}">
      <text>
        <r>
          <rPr>
            <sz val="9"/>
            <color rgb="FF000000"/>
            <rFont val="Tahoma"/>
            <family val="2"/>
          </rPr>
          <t>Beskrivande namn av teknisk karaktär på engelska. Undvik förkortningar och varianter av redan vedertagna benamningar av info.objekt och attribut</t>
        </r>
      </text>
    </comment>
    <comment ref="L3" authorId="0" shapeId="0" xr:uid="{6BFCD2B6-F5ED-4A70-A528-742936BD9E35}">
      <text>
        <r>
          <rPr>
            <sz val="11"/>
            <color theme="1"/>
            <rFont val="Calibri"/>
            <family val="2"/>
            <scheme val="minor"/>
          </rPr>
          <t>Suggestion to name data attribute in applications comsuming data through the Integration Platform</t>
        </r>
      </text>
    </comment>
    <comment ref="Q3" authorId="0" shapeId="0" xr:uid="{6F88FC67-BC26-42A5-846B-ED163167CE74}">
      <text>
        <r>
          <rPr>
            <b/>
            <sz val="9"/>
            <color indexed="81"/>
            <rFont val="Tahoma"/>
            <family val="2"/>
          </rPr>
          <t>Column name from Integration</t>
        </r>
      </text>
    </comment>
    <comment ref="R3" authorId="0" shapeId="0" xr:uid="{E4E4E684-F1D8-4853-B325-342C0B5492A4}">
      <text>
        <r>
          <rPr>
            <b/>
            <sz val="9"/>
            <color indexed="81"/>
            <rFont val="Tahoma"/>
            <family val="2"/>
          </rPr>
          <t>Column name from Integration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Magnus Vikström</author>
  </authors>
  <commentList>
    <comment ref="F3" authorId="0" shapeId="0" xr:uid="{F8B9C51B-48CA-42F9-9375-7CB4BD3049F2}">
      <text>
        <r>
          <rPr>
            <sz val="9"/>
            <color rgb="FF000000"/>
            <rFont val="Tahoma"/>
            <family val="2"/>
          </rPr>
          <t>Beskrivande namn av teknisk karaktär på engelska. Undvik förkortningar och varianter av redan vedertagna benamningar av info.objekt och attribut</t>
        </r>
      </text>
    </comment>
    <comment ref="G3" authorId="0" shapeId="0" xr:uid="{28B298F6-A6EA-40C2-8440-9A5EA5CD4B51}">
      <text>
        <r>
          <rPr>
            <sz val="11"/>
            <color theme="1"/>
            <rFont val="Calibri"/>
            <family val="2"/>
            <scheme val="minor"/>
          </rPr>
          <t>Suggestion to name data attribute in applications comsuming data through the Integration Platform</t>
        </r>
      </text>
    </comment>
    <comment ref="L3" authorId="0" shapeId="0" xr:uid="{4A3905BB-895E-4E94-AE27-72DE911B4D48}">
      <text>
        <r>
          <rPr>
            <b/>
            <sz val="9"/>
            <color indexed="81"/>
            <rFont val="Tahoma"/>
            <family val="2"/>
          </rPr>
          <t>Column name from Integration</t>
        </r>
      </text>
    </comment>
    <comment ref="M3" authorId="0" shapeId="0" xr:uid="{977ADBE4-9B6C-4FB7-9034-2F94E2136952}">
      <text>
        <r>
          <rPr>
            <b/>
            <sz val="9"/>
            <color indexed="81"/>
            <rFont val="Tahoma"/>
            <family val="2"/>
          </rPr>
          <t>Column name from Integration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Magnus Vikström</author>
  </authors>
  <commentList>
    <comment ref="F2" authorId="0" shapeId="0" xr:uid="{5A454F79-11DE-45DA-8B41-EBD4C9243045}">
      <text>
        <r>
          <rPr>
            <sz val="9"/>
            <color rgb="FF000000"/>
            <rFont val="Tahoma"/>
            <family val="2"/>
          </rPr>
          <t>Beskrivande namn av teknisk karaktär på engelska. Undvik förkortningar och varianter av redan vedertagna benamningar av info.objekt och attribut</t>
        </r>
      </text>
    </comment>
    <comment ref="G2" authorId="0" shapeId="0" xr:uid="{2C27E90C-B256-4AF5-8C9A-444C368BA911}">
      <text>
        <r>
          <rPr>
            <sz val="11"/>
            <color theme="1"/>
            <rFont val="Calibri"/>
            <family val="2"/>
            <scheme val="minor"/>
          </rPr>
          <t>Suggestion to name data attribute in applications comsuming data through the Integration Platform</t>
        </r>
      </text>
    </comment>
    <comment ref="L2" authorId="0" shapeId="0" xr:uid="{7C104E43-DB34-4887-A2A5-81CAD431CD06}">
      <text>
        <r>
          <rPr>
            <b/>
            <sz val="9"/>
            <color indexed="81"/>
            <rFont val="Tahoma"/>
            <family val="2"/>
          </rPr>
          <t>Column name from Integration</t>
        </r>
      </text>
    </comment>
    <comment ref="M2" authorId="0" shapeId="0" xr:uid="{CA856538-32FA-4CC3-92C4-9FF67C378178}">
      <text>
        <r>
          <rPr>
            <b/>
            <sz val="9"/>
            <color indexed="81"/>
            <rFont val="Tahoma"/>
            <family val="2"/>
          </rPr>
          <t>Column name from Integration</t>
        </r>
      </text>
    </comment>
    <comment ref="T2" authorId="0" shapeId="0" xr:uid="{87FF84E0-539E-47A3-89DE-2AA53B17A222}">
      <text>
        <r>
          <rPr>
            <sz val="11"/>
            <color theme="1"/>
            <rFont val="Calibri"/>
            <family val="2"/>
            <scheme val="minor"/>
          </rPr>
          <t>Suggestion to name data attribute in applications comsuming data through the Integration Platform</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Magnus Vikström</author>
  </authors>
  <commentList>
    <comment ref="G2" authorId="0" shapeId="0" xr:uid="{E8463A81-DEF7-4AE7-A50D-16DB067658DD}">
      <text>
        <r>
          <rPr>
            <sz val="11"/>
            <color theme="1"/>
            <rFont val="Calibri"/>
            <family val="2"/>
            <scheme val="minor"/>
          </rPr>
          <t>Suggestion to name data attribute in applications comsuming data through the Integration Platform</t>
        </r>
      </text>
    </comment>
    <comment ref="G90" authorId="0" shapeId="0" xr:uid="{E9753D91-2B5D-4FD6-B9EE-4E59BC964E57}">
      <text>
        <r>
          <rPr>
            <b/>
            <sz val="9"/>
            <color indexed="81"/>
            <rFont val="Tahoma"/>
            <family val="2"/>
          </rPr>
          <t>Magnus Vikström:</t>
        </r>
        <r>
          <rPr>
            <sz val="9"/>
            <color indexed="81"/>
            <rFont val="Tahoma"/>
            <family val="2"/>
          </rPr>
          <t xml:space="preserve">
Number of planerigsobject who is missing a schedule or tasks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6BE9D71-6451-47A7-8786-97B1FBD89C3F}" name="100080 Norrköping 11 Timepunches 2021-02-01-2021-02-10 Exportdatum 2021-02-11" type="4" refreshedVersion="0" background="1">
    <webPr xml="1" sourceData="1" url="C:\Users\xanksin\Downloads\OneDrive_2021-02-11\Timepunches 0201-0210\100080 Norrköping 11 Timepunches 2021-02-01-2021-02-10 Exportdatum 2021-02-11.xml" htmlTables="1" htmlFormat="all"/>
  </connection>
</connections>
</file>

<file path=xl/sharedStrings.xml><?xml version="1.0" encoding="utf-8"?>
<sst xmlns="http://schemas.openxmlformats.org/spreadsheetml/2006/main" count="12767" uniqueCount="1831">
  <si>
    <t>id</t>
  </si>
  <si>
    <t>employeeName</t>
  </si>
  <si>
    <t>restId</t>
  </si>
  <si>
    <t>badgeNo</t>
  </si>
  <si>
    <t>socsecNo</t>
  </si>
  <si>
    <t>cardNo</t>
  </si>
  <si>
    <t>punchIn</t>
  </si>
  <si>
    <t>punchOut</t>
  </si>
  <si>
    <t>orgPunchIn</t>
  </si>
  <si>
    <t>orgPunchOut</t>
  </si>
  <si>
    <t>hours</t>
  </si>
  <si>
    <t>approvedByEmployee</t>
  </si>
  <si>
    <t>approvedByManager</t>
  </si>
  <si>
    <t>approvedByCustomer</t>
  </si>
  <si>
    <t>costCentre</t>
  </si>
  <si>
    <t>projectNo</t>
  </si>
  <si>
    <t>accountNo</t>
  </si>
  <si>
    <t>agrmntAdditionalField1</t>
  </si>
  <si>
    <t>agrmntAdditionalField2</t>
  </si>
  <si>
    <t>agrmntAdditionalField3</t>
  </si>
  <si>
    <t>agrmntAdditionalField4</t>
  </si>
  <si>
    <t>agrmntAdditionalField5</t>
  </si>
  <si>
    <t>scheduleId</t>
  </si>
  <si>
    <t>transferredToPayroll</t>
  </si>
  <si>
    <t>deleted</t>
  </si>
  <si>
    <t>productiveTime</t>
  </si>
  <si>
    <t>isOpen</t>
  </si>
  <si>
    <t>comment</t>
  </si>
  <si>
    <t>managerComment</t>
  </si>
  <si>
    <t>employeeId</t>
  </si>
  <si>
    <t>shiftCategoryId</t>
  </si>
  <si>
    <t>extShiftCategoryId</t>
  </si>
  <si>
    <t>shiftCategoryName</t>
  </si>
  <si>
    <t>subShiftReference</t>
  </si>
  <si>
    <t>ts</t>
  </si>
  <si>
    <t>NULL</t>
  </si>
  <si>
    <t>Y</t>
  </si>
  <si>
    <t>TimePunches</t>
  </si>
  <si>
    <t>Tags</t>
  </si>
  <si>
    <t>Units</t>
  </si>
  <si>
    <t>Parameter</t>
  </si>
  <si>
    <t>Data type</t>
  </si>
  <si>
    <t>Format/example</t>
  </si>
  <si>
    <t>Comment</t>
  </si>
  <si>
    <t>Integer</t>
  </si>
  <si>
    <t>String</t>
  </si>
  <si>
    <t>city</t>
  </si>
  <si>
    <t>email</t>
  </si>
  <si>
    <t>active</t>
  </si>
  <si>
    <t>Date</t>
  </si>
  <si>
    <t>YYYY-MM-DD</t>
  </si>
  <si>
    <t>country</t>
  </si>
  <si>
    <t>section</t>
  </si>
  <si>
    <t>sectionName</t>
  </si>
  <si>
    <t>dateOfBirth</t>
  </si>
  <si>
    <t>costCentreExtCode</t>
  </si>
  <si>
    <t>DateTime</t>
  </si>
  <si>
    <t>Id</t>
  </si>
  <si>
    <r>
      <t xml:space="preserve">unit id. = </t>
    </r>
    <r>
      <rPr>
        <b/>
        <sz val="8"/>
        <color rgb="FF434343"/>
        <rFont val="Courier New"/>
        <family val="3"/>
      </rPr>
      <t>RestID</t>
    </r>
  </si>
  <si>
    <t>groupId</t>
  </si>
  <si>
    <t>group id in neo</t>
  </si>
  <si>
    <t>extGroupId</t>
  </si>
  <si>
    <t>external groupId</t>
  </si>
  <si>
    <t>extUnitId</t>
  </si>
  <si>
    <t>extUnitId= Ansvar</t>
  </si>
  <si>
    <t>Name</t>
  </si>
  <si>
    <t>unit name.</t>
  </si>
  <si>
    <t>extApplicationId</t>
  </si>
  <si>
    <t>Application id in unit card.</t>
  </si>
  <si>
    <t>managerId</t>
  </si>
  <si>
    <t>Employee!id!for!manager.</t>
  </si>
  <si>
    <t>managerBadgeNo</t>
  </si>
  <si>
    <t>BadgeNo of manager.</t>
  </si>
  <si>
    <t>managerGroupId</t>
  </si>
  <si>
    <t>Manager group id.</t>
  </si>
  <si>
    <t>maxHourDay</t>
  </si>
  <si>
    <t>Maximum Hours per day.</t>
  </si>
  <si>
    <t>maxHourWeek</t>
  </si>
  <si>
    <t>Maximum hours per week.</t>
  </si>
  <si>
    <t>Minshift</t>
  </si>
  <si>
    <t>Minimum shift length.</t>
  </si>
  <si>
    <t>minRest</t>
  </si>
  <si>
    <t>Minimum rest between shifts.</t>
  </si>
  <si>
    <t>publishedTo</t>
  </si>
  <si>
    <t>Currency</t>
  </si>
  <si>
    <t>I.e. USD, SEK</t>
  </si>
  <si>
    <t>noBreaks</t>
  </si>
  <si>
    <t>Number of breaks per shift[0-4]</t>
  </si>
  <si>
    <t>premium1</t>
  </si>
  <si>
    <t>if salary/costs for overtime 1 are not specified in agreements and shift types it is calculated as (normal)* permium1/100</t>
  </si>
  <si>
    <t>premium2</t>
  </si>
  <si>
    <t>if salary/costs for overtime 2 are not specified in agreements and shift types it is calculated as (normal)* permium2/100</t>
  </si>
  <si>
    <t>Internal id of cost centre.</t>
  </si>
  <si>
    <t>External Id of cost centre. Will return empty string if not set.</t>
  </si>
  <si>
    <t>districtId</t>
  </si>
  <si>
    <t>Restaurant is a member of this district. If 0 no district is set.</t>
  </si>
  <si>
    <t>Country</t>
  </si>
  <si>
    <t>Address</t>
  </si>
  <si>
    <t>address</t>
  </si>
  <si>
    <t>zipCode</t>
  </si>
  <si>
    <t>City</t>
  </si>
  <si>
    <t>municipality</t>
  </si>
  <si>
    <t>nextBadgeNo</t>
  </si>
  <si>
    <t>timeZone</t>
  </si>
  <si>
    <t>timezone</t>
  </si>
  <si>
    <t>ssoLoginOnly</t>
  </si>
  <si>
    <t>boolean</t>
  </si>
  <si>
    <t>sso login only</t>
  </si>
  <si>
    <t>Geos</t>
  </si>
  <si>
    <t>Array of Geo</t>
  </si>
  <si>
    <t>Coordinations</t>
  </si>
  <si>
    <t>Ts</t>
  </si>
  <si>
    <t>Timestamp formatted as ISO8601</t>
  </si>
  <si>
    <t>standardOpenHours</t>
  </si>
  <si>
    <t>Array of standardOpenHours</t>
  </si>
  <si>
    <t>See Object Explanation below</t>
  </si>
  <si>
    <t>deviatingOpenHours</t>
  </si>
  <si>
    <t>Array of deviatingOpenHours</t>
  </si>
  <si>
    <t>validationErrors</t>
  </si>
  <si>
    <t>Array Of String</t>
  </si>
  <si>
    <t>validationError will pop up when you try to use a none root unit api key</t>
  </si>
  <si>
    <t>businessBreak</t>
  </si>
  <si>
    <t>See business Break</t>
  </si>
  <si>
    <t>Internal id in timepunch table</t>
  </si>
  <si>
    <t>Full name of the employee</t>
  </si>
  <si>
    <t>Datetime</t>
  </si>
  <si>
    <t>2015-12-31T08:00:00+02:00</t>
  </si>
  <si>
    <t>2015-12-31T17:00:00+02:00</t>
  </si>
  <si>
    <t>Decimal</t>
  </si>
  <si>
    <t>Number of hours as a decimal value</t>
  </si>
  <si>
    <t>Boolean</t>
  </si>
  <si>
    <t>false/true</t>
  </si>
  <si>
    <t>Indicates if the punch has been approved by the employee</t>
  </si>
  <si>
    <t>Indicates if the punch has been approved by the manager</t>
  </si>
  <si>
    <t>Indicates if the punch has been approved by customer, this is only applicable if the punch is related to a customer in the customer and order module.</t>
  </si>
  <si>
    <t>External code for the cost centre</t>
  </si>
  <si>
    <t>External code for the project</t>
  </si>
  <si>
    <t>External code for the account number</t>
  </si>
  <si>
    <t>Additional information from the employee agreement.</t>
  </si>
  <si>
    <t>externalInfo1</t>
  </si>
  <si>
    <t>externalInfo2</t>
  </si>
  <si>
    <t>externalInfo3</t>
  </si>
  <si>
    <t>decisionNo</t>
  </si>
  <si>
    <t>Decision number, used in the customer and order module</t>
  </si>
  <si>
    <t>customerNo</t>
  </si>
  <si>
    <t>Identifies the shift the time punch is related to.</t>
  </si>
  <si>
    <t>Indicates if time punch has been transferred to payroll and locked.</t>
  </si>
  <si>
    <t>Indicates if the time punch has been deleted.</t>
  </si>
  <si>
    <t>True if the punch is open (employee has not punched out)</t>
  </si>
  <si>
    <t>Comment entered on the punch by the employee</t>
  </si>
  <si>
    <t>Comment entered on the punch by the manager</t>
  </si>
  <si>
    <t>Shift Type Id connected to the punch(if shiftTaskInfo is set to true)</t>
  </si>
  <si>
    <t>External Shift Type Id connected to the punch(if shiftTaskInfo is set to true)</t>
  </si>
  <si>
    <t>Shift Type Name connected to the punch(if shiftTaskInfo is set to true)</t>
  </si>
  <si>
    <t>datetime</t>
  </si>
  <si>
    <t>The original punch in time, before rounding or correction is done</t>
  </si>
  <si>
    <t>The original punch out time, before rounding or correction is done</t>
  </si>
  <si>
    <t>int</t>
  </si>
  <si>
    <t>Identificator for a scheduled shift.</t>
  </si>
  <si>
    <t>absenceScheduleId</t>
  </si>
  <si>
    <t>Identificator for the unit.</t>
  </si>
  <si>
    <t>begDate</t>
  </si>
  <si>
    <t>date</t>
  </si>
  <si>
    <t>begTime</t>
  </si>
  <si>
    <t>time</t>
  </si>
  <si>
    <t>HH:ii:ss</t>
  </si>
  <si>
    <t>endDate</t>
  </si>
  <si>
    <t>endTime</t>
  </si>
  <si>
    <t>breakType</t>
  </si>
  <si>
    <t>begBreak</t>
  </si>
  <si>
    <t>endBreak</t>
  </si>
  <si>
    <t>begBreak2</t>
  </si>
  <si>
    <t>endBreak2</t>
  </si>
  <si>
    <t>begBreak3</t>
  </si>
  <si>
    <t>endBreak3</t>
  </si>
  <si>
    <t>begBreak4</t>
  </si>
  <si>
    <t>endBreak4</t>
  </si>
  <si>
    <t>persId</t>
  </si>
  <si>
    <t>identificator for the assigned employee. 0 if shift is unassigned.</t>
  </si>
  <si>
    <t>string</t>
  </si>
  <si>
    <t>status</t>
  </si>
  <si>
    <t>0 - unassigned, 1 - assigned, 2 - NOI</t>
  </si>
  <si>
    <t>grabbAble</t>
  </si>
  <si>
    <t>grabbId</t>
  </si>
  <si>
    <t>approved</t>
  </si>
  <si>
    <t>categoryId</t>
  </si>
  <si>
    <t>categoryName</t>
  </si>
  <si>
    <t>The ID. Not the integration key.</t>
  </si>
  <si>
    <t>decimal</t>
  </si>
  <si>
    <t>fixSchedId</t>
  </si>
  <si>
    <t>shiftChanged</t>
  </si>
  <si>
    <t>unitName</t>
  </si>
  <si>
    <t>accountNoExtCode</t>
  </si>
  <si>
    <t>projectNoExtCode</t>
  </si>
  <si>
    <t>agrmntPeriodStart</t>
  </si>
  <si>
    <t>agrmntPeriodType</t>
  </si>
  <si>
    <t>agrmntPeriodLength</t>
  </si>
  <si>
    <t>agrmntWorkinghours</t>
  </si>
  <si>
    <t>udf_value_id</t>
  </si>
  <si>
    <t>orgScheduleId</t>
  </si>
  <si>
    <t>In an absence shift this refers to the scheduled shift it origins from. On scheduled shifts and absence shifts that does not origin from a scheduled shift orgScheduleId = 0.</t>
  </si>
  <si>
    <t>dateTime</t>
  </si>
  <si>
    <t>1976-11-22T11:53:28+02:00</t>
  </si>
  <si>
    <t>Last modified</t>
  </si>
  <si>
    <t>Identificator for the scheduled shift. If record is not a scheduled shift scheduleId will be left out.</t>
  </si>
  <si>
    <t>leaveReasonId</t>
  </si>
  <si>
    <t>Leave Reason Id</t>
  </si>
  <si>
    <t>Identificator for the absence shift. If record is not an absence shift absencesheduleId will be left out.</t>
  </si>
  <si>
    <t>agreementId</t>
  </si>
  <si>
    <t>agreementTemplateId</t>
  </si>
  <si>
    <t>hourlyEmployed</t>
  </si>
  <si>
    <t>true|false</t>
  </si>
  <si>
    <t>Is employee employed by the hour?</t>
  </si>
  <si>
    <t>True if the shift is configured to be counted as productive time (i.e. count toward total headcount in the schedule summary) in the shift settings dialog as per the picture below.</t>
  </si>
  <si>
    <t>shiftTypeExtCode</t>
  </si>
  <si>
    <t>If shift type is defined under integration keys it, the external code of the shift type will be included.</t>
  </si>
  <si>
    <t>netCost</t>
  </si>
  <si>
    <t xml:space="preserve"> </t>
  </si>
  <si>
    <t>Only included on assigned shifts with includeCosts = true</t>
  </si>
  <si>
    <t>absenceCost</t>
  </si>
  <si>
    <t>Only included on assigned shifts with includeCosts = true.</t>
  </si>
  <si>
    <t>socialCost</t>
  </si>
  <si>
    <t>totalCost</t>
  </si>
  <si>
    <t>total=net+absence+social</t>
  </si>
  <si>
    <t>unassignedShiftCost</t>
  </si>
  <si>
    <t>Only included on unassigned shifts with includeCosts = true.</t>
  </si>
  <si>
    <t>Estimate of total cost based on the default shifttype for this shift.</t>
  </si>
  <si>
    <t>scheduleRequests</t>
  </si>
  <si>
    <t>Array of ScheduleRequest</t>
  </si>
  <si>
    <t>Array of shift booking and shift swapping requests</t>
  </si>
  <si>
    <t>fixSchedOwnerEmployeeId</t>
  </si>
  <si>
    <t>Employee ID of the owner of the fixed schedule the shift was rolled out from (if any)</t>
  </si>
  <si>
    <t>fixSchedOwnerBadgeNo</t>
  </si>
  <si>
    <t>Badge number of the owner of the fixed schedule the shift was rolled out from (if any)</t>
  </si>
  <si>
    <t>approvedLeave</t>
  </si>
  <si>
    <t>False if shift isn’t a leave</t>
  </si>
  <si>
    <t>approvedLeaveByEmployee</t>
  </si>
  <si>
    <t>countAsScheduledHours</t>
  </si>
  <si>
    <t>subShifts</t>
  </si>
  <si>
    <t>Array of subShift</t>
  </si>
  <si>
    <t>Only if there is subShift</t>
  </si>
  <si>
    <t>tags</t>
  </si>
  <si>
    <t>Array of ShiftCategoriesTag</t>
  </si>
  <si>
    <t>Only if tags are required in request</t>
  </si>
  <si>
    <t>name</t>
  </si>
  <si>
    <t>fromDate</t>
  </si>
  <si>
    <t>toDate</t>
  </si>
  <si>
    <t>TimePunches_SK</t>
  </si>
  <si>
    <t>Ansvar</t>
  </si>
  <si>
    <t>Mandatory</t>
  </si>
  <si>
    <t>Optional</t>
  </si>
  <si>
    <t>fromTime</t>
  </si>
  <si>
    <t>toTime</t>
  </si>
  <si>
    <t>8.00</t>
  </si>
  <si>
    <t>value</t>
  </si>
  <si>
    <t>startDate</t>
  </si>
  <si>
    <t>Time</t>
  </si>
  <si>
    <t>year</t>
  </si>
  <si>
    <t>month</t>
  </si>
  <si>
    <t>type</t>
  </si>
  <si>
    <t>Integer (enum)</t>
  </si>
  <si>
    <t>PayrollsV2</t>
  </si>
  <si>
    <t>PayrollV2[]</t>
  </si>
  <si>
    <t>Array of PayrollV2 rows</t>
  </si>
  <si>
    <t>PayrollV2-&gt;id</t>
  </si>
  <si>
    <t>PayrollV2-&gt;empName</t>
  </si>
  <si>
    <t>Martin Quinyx</t>
  </si>
  <si>
    <t>PayrollV2-&gt;restId</t>
  </si>
  <si>
    <t>PayrollV2-&gt;badgeNo</t>
  </si>
  <si>
    <t>PayrollV2-&gt;socsecNo</t>
  </si>
  <si>
    <t>700101-0123</t>
  </si>
  <si>
    <t>PayrollV2-&gt;cardNo</t>
  </si>
  <si>
    <t>PayrollV2-&gt;pType</t>
  </si>
  <si>
    <t>PayrollV2-&gt;date</t>
  </si>
  <si>
    <t>PayrollV2-&gt;salType</t>
  </si>
  <si>
    <t>The external salary type</t>
  </si>
  <si>
    <t>PayrollV2-&gt;in</t>
  </si>
  <si>
    <t>PayrollV2-&gt;out</t>
  </si>
  <si>
    <t>PayrollV2-&gt;hours</t>
  </si>
  <si>
    <t>6.0</t>
  </si>
  <si>
    <t>PayrollV2-&gt;salaryMgrAttest</t>
  </si>
  <si>
    <t>PayrollV2-&gt;transactionEmpAttest</t>
  </si>
  <si>
    <t>PayrollV2-&gt;transactionMgrAttest</t>
  </si>
  <si>
    <t>PayrollV2-&gt;transactionCustAttest</t>
  </si>
  <si>
    <t>PayrollV2-&gt;costCentre</t>
  </si>
  <si>
    <t>PayrollV2-&gt;projectNo</t>
  </si>
  <si>
    <t>PayrollV2-&gt;accountNo</t>
  </si>
  <si>
    <t>PayrollV2-&gt;agrmntAdditionalField1</t>
  </si>
  <si>
    <t>PayrollV2-&gt;agrmntAdditionalField2</t>
  </si>
  <si>
    <t>PayrollV2-&gt;agrmntAdditionalField3</t>
  </si>
  <si>
    <t>PayrollV2-&gt;agrmntAdditionalField4</t>
  </si>
  <si>
    <t>PayrollV2-&gt;agrmntAdditionalField5</t>
  </si>
  <si>
    <t>PayrollV2-&gt;externalInfo1</t>
  </si>
  <si>
    <t>PayrollV2-&gt;externalInfo2</t>
  </si>
  <si>
    <t>PayrollV2-&gt;externalInfo3</t>
  </si>
  <si>
    <t>PayrollV2-&gt;decisionNo</t>
  </si>
  <si>
    <t>PayrollV2-&gt;customerNo</t>
  </si>
  <si>
    <t>PayrollV2-&gt;teamId</t>
  </si>
  <si>
    <t>PayrollV2-&gt;teamExtCode</t>
  </si>
  <si>
    <t>PayrollV2-&gt;scheduleId</t>
  </si>
  <si>
    <t>Unique ID of the shift</t>
  </si>
  <si>
    <t>PayrollV2-&gt;punchId</t>
  </si>
  <si>
    <t>Unique ID of the time punch</t>
  </si>
  <si>
    <t>PayrollV2-&gt;punchDate</t>
  </si>
  <si>
    <t>PayrollV2-&gt;orgScheduleId</t>
  </si>
  <si>
    <t>Original shift id - used if the shift has been split by absence to keep track of orginial</t>
  </si>
  <si>
    <t>PayrollV2-&gt;leaveAppId</t>
  </si>
  <si>
    <t>Unique ID of the leave application</t>
  </si>
  <si>
    <t>PayrollV2-&gt;segmentStartDate</t>
  </si>
  <si>
    <t>PayrollV2-&gt;productiveTime</t>
  </si>
  <si>
    <t>PayrollV2-&gt;netCost</t>
  </si>
  <si>
    <t>Only present if includeCosts=true</t>
  </si>
  <si>
    <t>PayrollV2-&gt;absenceCost</t>
  </si>
  <si>
    <t>PayrollV2-&gt;socialCost</t>
  </si>
  <si>
    <t>PayrollV2-&gt;</t>
  </si>
  <si>
    <t>Tag[]</t>
  </si>
  <si>
    <t>Tag</t>
  </si>
  <si>
    <t>tagCategoryName</t>
  </si>
  <si>
    <t>tagCategoryExternalId</t>
  </si>
  <si>
    <t>tagName</t>
  </si>
  <si>
    <t>tagCode</t>
  </si>
  <si>
    <t>tagExternalId</t>
  </si>
  <si>
    <t>customFields</t>
  </si>
  <si>
    <t>customField[]</t>
  </si>
  <si>
    <t>Identificator for an absence shift.
If an absence shift origins from a scheduled shift, a reference to it will be in orgScheduleId.</t>
  </si>
  <si>
    <t>Only included on assigned shifts with includeCosts = true.
Holiday compensation.</t>
  </si>
  <si>
    <t>Optional
If the customer has approved this time, only available if you use CRM module.</t>
  </si>
  <si>
    <t>Optional
If the manager has approved this time</t>
  </si>
  <si>
    <t>Optional
If the employee has approved this time</t>
  </si>
  <si>
    <t>Optional
If salary has been approved (Always true if the salary doesn’t require approval)</t>
  </si>
  <si>
    <t>only present if includeTags is true</t>
  </si>
  <si>
    <t>PayrollV2</t>
  </si>
  <si>
    <t>NA</t>
  </si>
  <si>
    <t>To which date shifts are
published in the employee
section and can be booked.</t>
  </si>
  <si>
    <t>in</t>
  </si>
  <si>
    <t>leaveAppId</t>
  </si>
  <si>
    <t>out</t>
  </si>
  <si>
    <t>punchId</t>
  </si>
  <si>
    <t>salType</t>
  </si>
  <si>
    <t>transactionEmpAttest</t>
  </si>
  <si>
    <t>transactionMgrAttest</t>
  </si>
  <si>
    <t>Yes</t>
  </si>
  <si>
    <t>TBD</t>
  </si>
  <si>
    <t>dayCount</t>
  </si>
  <si>
    <t>Day number of absence</t>
  </si>
  <si>
    <t>ScheduleV3</t>
  </si>
  <si>
    <t>code</t>
  </si>
  <si>
    <t>externalId</t>
  </si>
  <si>
    <t>information</t>
  </si>
  <si>
    <t>uniqueScheduling</t>
  </si>
  <si>
    <t>categoryExternalId</t>
  </si>
  <si>
    <t>unitExternalId</t>
  </si>
  <si>
    <t>Ansvar_beskrivning</t>
  </si>
  <si>
    <t>MO</t>
  </si>
  <si>
    <t>MO_beskrivning</t>
  </si>
  <si>
    <t>Distrikt</t>
  </si>
  <si>
    <t>Distrikt_beskrivning</t>
  </si>
  <si>
    <t>Affärsenhet</t>
  </si>
  <si>
    <t>Affärsenhet_beskrivning</t>
  </si>
  <si>
    <t>KOMMUN</t>
  </si>
  <si>
    <t>kommun_beskrivning</t>
  </si>
  <si>
    <t>Län</t>
  </si>
  <si>
    <t>Län_beskrivning</t>
  </si>
  <si>
    <t>ANSVARSTYP</t>
  </si>
  <si>
    <t>ANSVARSTYP_BESKRIVNING</t>
  </si>
  <si>
    <t>GILTIG_FRÅN</t>
  </si>
  <si>
    <t>GILTIG_TILL</t>
  </si>
  <si>
    <t>causeForAttendance</t>
  </si>
  <si>
    <t>workOrderNumber</t>
  </si>
  <si>
    <t>Key to map Qx data with org.struct.
Ansvar=extUnitId</t>
  </si>
  <si>
    <t>extUnitId = "Ansvar" and used for mapping with organisation "Ansvar"</t>
  </si>
  <si>
    <t>SHCMS code (k11, K26… Per.Kat</t>
  </si>
  <si>
    <t>Timestamp changes by post
not exposed to business</t>
  </si>
  <si>
    <t>Synlige eller osynliga raster, betald eller ej betald rast (paus)</t>
  </si>
  <si>
    <t>Namn på moderskift (mestadels arbetsdag)</t>
  </si>
  <si>
    <t>Godkänd frånvaro</t>
  </si>
  <si>
    <t>Arbetsdagens sluttid</t>
  </si>
  <si>
    <t>Personalkategorikod</t>
  </si>
  <si>
    <t>Attesterad av chef</t>
  </si>
  <si>
    <t>reportedHours</t>
  </si>
  <si>
    <t>scheduledHours</t>
  </si>
  <si>
    <t>Rapporterade timmar</t>
  </si>
  <si>
    <t>Öppen stämpling</t>
  </si>
  <si>
    <t>Faktisk instämplad tid</t>
  </si>
  <si>
    <t>Justerad instämplad tid</t>
  </si>
  <si>
    <t>Faktisk utstämplad tid</t>
  </si>
  <si>
    <t>justerad utstämplad tid</t>
  </si>
  <si>
    <t>Skifttyp</t>
  </si>
  <si>
    <t>Antal frånvarodagar</t>
  </si>
  <si>
    <t>isDeleted</t>
  </si>
  <si>
    <t>originalPunchIn</t>
  </si>
  <si>
    <t>originalPunchOut</t>
  </si>
  <si>
    <t>adjustedPunchIn</t>
  </si>
  <si>
    <t>adjustedPunchOut</t>
  </si>
  <si>
    <t>isTransferredToPayroll</t>
  </si>
  <si>
    <t xml:space="preserve">Avtalsmall (anställning) Härleda i framtid scenarion om mallar används eller ej 
</t>
  </si>
  <si>
    <t>Beräkningsperiod i veckor</t>
  </si>
  <si>
    <t>Heltidsmått</t>
  </si>
  <si>
    <t xml:space="preserve">Avtalat heltidsmått
</t>
  </si>
  <si>
    <t>isLeaveApproved</t>
  </si>
  <si>
    <t>beginningBreak1</t>
  </si>
  <si>
    <t>beginningBreak2</t>
  </si>
  <si>
    <t>beginningBreak3</t>
  </si>
  <si>
    <t>beginningBreak4</t>
  </si>
  <si>
    <t>Rast 1 Start</t>
  </si>
  <si>
    <t>Rast 2 Start</t>
  </si>
  <si>
    <t>Rast 3 Start</t>
  </si>
  <si>
    <t>Rast 4 Start</t>
  </si>
  <si>
    <t>endBreak1</t>
  </si>
  <si>
    <t>Arbetsdagens starttid</t>
  </si>
  <si>
    <t>Typ av rast</t>
  </si>
  <si>
    <t>badgeNo = employee number</t>
  </si>
  <si>
    <t>Rast 1 Stopp</t>
  </si>
  <si>
    <t>Rast 2 Stopp</t>
  </si>
  <si>
    <t>Rast 3 Stopp</t>
  </si>
  <si>
    <t>Rast 4 Stopp</t>
  </si>
  <si>
    <t>Räknas som schematid, hamnar tex ÖT rätt?</t>
  </si>
  <si>
    <t>Räknas som schemalagda timmar</t>
  </si>
  <si>
    <t>leaveDayCount</t>
  </si>
  <si>
    <t>Shemalagdatimmar</t>
  </si>
  <si>
    <t>System API utveckling skapar en lista enligt "breaks"</t>
  </si>
  <si>
    <t>Rast 1 startar</t>
  </si>
  <si>
    <t>Rast 2 startar</t>
  </si>
  <si>
    <t>Rast 3 startar</t>
  </si>
  <si>
    <t>Rast 4 startar</t>
  </si>
  <si>
    <t>unit id = RestID
Mapped with "restId"</t>
  </si>
  <si>
    <t>OUTPUT</t>
  </si>
  <si>
    <t>INPUT</t>
  </si>
  <si>
    <t>apiKey</t>
  </si>
  <si>
    <t>1111-1111-1111-1111</t>
  </si>
  <si>
    <t>Optional selection on employee, using the internal identification of the employee.</t>
  </si>
  <si>
    <t>Optional selection on employee, using the employee badge number.</t>
  </si>
  <si>
    <t>sectionId</t>
  </si>
  <si>
    <t>Optional selection on section, using internal identification of the section.</t>
  </si>
  <si>
    <t>shiftTaskInfo</t>
  </si>
  <si>
    <t>OPTIONAL</t>
  </si>
  <si>
    <t>If you want to include the shift type connected to the punch</t>
  </si>
  <si>
    <t>false/true or 0/1</t>
  </si>
  <si>
    <t>Include time punches that has been transferred to payroll and locked.</t>
  </si>
  <si>
    <t>Default: true</t>
  </si>
  <si>
    <t>notTransferredToPayroll</t>
  </si>
  <si>
    <t>Include time punches that hasn’t been transferred to payroll.</t>
  </si>
  <si>
    <t>Include approved time punches.</t>
  </si>
  <si>
    <t>unapproved</t>
  </si>
  <si>
    <t>Include unapproved time punches.</t>
  </si>
  <si>
    <t>Include active punches (not deleted)</t>
  </si>
  <si>
    <t>Include deleted time punches.</t>
  </si>
  <si>
    <t>Default: false</t>
  </si>
  <si>
    <t>allUnits</t>
  </si>
  <si>
    <t>Include punches from ALL units instead of the unit specified by API key only. Default: false</t>
  </si>
  <si>
    <t>modifiedAfter</t>
  </si>
  <si>
    <t>employeeUnitMode</t>
  </si>
  <si>
    <t>0 = from home unit, 1 = from unit worked at</t>
  </si>
  <si>
    <t>Controls which punches to fetch based on the unit of the API key. Either fetch all punches from employees who has that unit as home  unit, alternatively to fetch all punches punched at that unit (no matter the home unit of the employee punching in). Default: 0.</t>
  </si>
  <si>
    <t>Input</t>
  </si>
  <si>
    <t>Requirement level</t>
  </si>
  <si>
    <t>Default</t>
  </si>
  <si>
    <t>modifiedBefore</t>
  </si>
  <si>
    <t>scheduledShifts</t>
  </si>
  <si>
    <t>absenceShifts</t>
  </si>
  <si>
    <t>includeCosts</t>
  </si>
  <si>
    <t>useFixedSchedule</t>
  </si>
  <si>
    <t>includeNOI</t>
  </si>
  <si>
    <t xml:space="preserve">Optional </t>
  </si>
  <si>
    <t>includeTags</t>
  </si>
  <si>
    <t>Format: 1111-1111-1111-1111
Requirement Level: Mandatory</t>
  </si>
  <si>
    <t>Identificator to filter on one employee.
Requirement Level: Optional</t>
  </si>
  <si>
    <t>Format: “YYYY-MM-DD”
Requirement Level: Mandatory</t>
  </si>
  <si>
    <t>Identificator to filter on one section. Integration key.
Requirement Level: Optional</t>
  </si>
  <si>
    <t>Default: 00:00:00
Requirement Level: Optional</t>
  </si>
  <si>
    <t>Default: 23:59:59
Requirement Level: Optional</t>
  </si>
  <si>
    <t>Format: “YYYY-MM-DD HH:II:SS”
Requirement Level: Optional</t>
  </si>
  <si>
    <t>Include/exclude scheduled shifts.
Default: TRUE
Requirement Level: Optional</t>
  </si>
  <si>
    <t>Include/exclude absence shifts.
Default: FALSE
Requirement Level: Optional</t>
  </si>
  <si>
    <t>Deprecated - functionality will be removed
Includes shifts from all units under the same client. Only usable for small amount of units, time period and number of schedule objects.
Default: FALSE
Requirement Level: Optional</t>
  </si>
  <si>
    <t>Include cost data in output.
Default: FALSE
Requirement Level: Optional</t>
  </si>
  <si>
    <t>The response and cost calculation will be based on the fixed schedules instead of actual schedules. 
Requirement Level: Optional</t>
  </si>
  <si>
    <t>Include shift and subshift tags in output.
Default: FALSE
Requirement Level: Optional</t>
  </si>
  <si>
    <t>Include Notice Of Interest in output.
(From version 326)
Default: FALSE
Requirement Level: Optional</t>
  </si>
  <si>
    <t>RESPONSE</t>
  </si>
  <si>
    <t>getPayrollV2Request</t>
  </si>
  <si>
    <t>getPayrollV2Request-&gt;fromDate</t>
  </si>
  <si>
    <t>getPayrollV2Request-&gt;toDate</t>
  </si>
  <si>
    <t>getPayrollV2Request-&gt;attest</t>
  </si>
  <si>
    <t>Only approved time punches</t>
  </si>
  <si>
    <t>getPayrollV2Request-&gt;pSalType</t>
  </si>
  <si>
    <t>0,1,2,3</t>
  </si>
  <si>
    <t>getPayrollV2Request-&gt;empInUnitOnly</t>
  </si>
  <si>
    <t>If you want staff from the current unit only or all people who have worked on this unit, including other units.</t>
  </si>
  <si>
    <t>getPayrollV2Request-&gt;employeeId</t>
  </si>
  <si>
    <t>Employee id</t>
  </si>
  <si>
    <t>getPayrollV2Request-&gt;badgeNo</t>
  </si>
  <si>
    <t>Employee badgeNumber</t>
  </si>
  <si>
    <t>getPayrollV2Request-&gt;isTransferingToPayroll</t>
  </si>
  <si>
    <t>Optional: Set to true to only include salaries that get sent to payroll</t>
  </si>
  <si>
    <t>getPayrollV2Request-&gt;approvedSalaryStatus</t>
  </si>
  <si>
    <t>getPayrollV2Request-&gt;includeCosts</t>
  </si>
  <si>
    <t>Optional: Include net,absence, social and total costs in response. Default false.</t>
  </si>
  <si>
    <t>getPayrollV2Request-&gt;costCalculationType</t>
  </si>
  <si>
    <t>Comma separated string to filter on specific transaction typeys
0 = Time punches
1 = Salarybased leave
2 = Shifts without time
3 = Shifts without time, but with leave application (exist only if attest is missing for that time)
4 = Non salary-based leave
5 = Time punches transferred to payroll system
6 = Leaves transferred to payroll system
7 = Non salary-based leave</t>
  </si>
  <si>
    <t>Optional: Used to limit results based on salary approval status
0 = All salaries
1 = Approved only
2 = Unapproved only</t>
  </si>
  <si>
    <t xml:space="preserve">Optional: Type of cost calculation. One of the following:
1 = Actual
2 = Scheduled
3 = Fixed Schedule based
This parameter has no effect unless you also specify includeCosts=true. </t>
  </si>
  <si>
    <t>lastModified</t>
  </si>
  <si>
    <t>Needs to be API key of root unit. Ff not response will be empty</t>
  </si>
  <si>
    <t>0 or date or timestamp</t>
  </si>
  <si>
    <t>0 all units. Date or timestamp units modified after the given date or timestamp.</t>
  </si>
  <si>
    <t>ModerskiftsId
Not exposed tpo business</t>
  </si>
  <si>
    <t>Response</t>
  </si>
  <si>
    <t>SQISS Name</t>
  </si>
  <si>
    <t>Attribute</t>
  </si>
  <si>
    <t>Example</t>
  </si>
  <si>
    <t>ansvarskod</t>
  </si>
  <si>
    <t>ansvarskod_value</t>
  </si>
  <si>
    <t>AO-nr</t>
  </si>
  <si>
    <t>AO-nr_value</t>
  </si>
  <si>
    <t>avtalsid</t>
  </si>
  <si>
    <t>avtalsid_value</t>
  </si>
  <si>
    <t>1543-183</t>
  </si>
  <si>
    <t>standard</t>
  </si>
  <si>
    <t>coordinates?</t>
  </si>
  <si>
    <t>coordinates_latitude</t>
  </si>
  <si>
    <t>coordinates_longitude</t>
  </si>
  <si>
    <t>coordinates_radius</t>
  </si>
  <si>
    <t>10001079325ENLAVT</t>
  </si>
  <si>
    <t>Willys Skäggetorp Centrum Skäggetorps Centrum 1 Linköping Städ</t>
  </si>
  <si>
    <t>Kundnummer</t>
  </si>
  <si>
    <t>Kundnummer_value</t>
  </si>
  <si>
    <t>Willys Skäggetorp Centrum ENLAVT AO-nr: 79325 Avtalsid: 1543-183   Kund: 1001828 Städ Skäggetorps Centrum 1 Linköping</t>
  </si>
  <si>
    <t>narvaroorsak</t>
  </si>
  <si>
    <t>narvaroorsak_value</t>
  </si>
  <si>
    <t>ENLAVT</t>
  </si>
  <si>
    <t>periods?</t>
  </si>
  <si>
    <t>periods_count</t>
  </si>
  <si>
    <t>periods_from</t>
  </si>
  <si>
    <t>periods_hours</t>
  </si>
  <si>
    <t>periods_to</t>
  </si>
  <si>
    <t>periods_type</t>
  </si>
  <si>
    <t>WEEKS</t>
  </si>
  <si>
    <t>produktbeskrivning</t>
  </si>
  <si>
    <t>produktbeskrivning_value</t>
  </si>
  <si>
    <t>Städ</t>
  </si>
  <si>
    <t>produktnr</t>
  </si>
  <si>
    <t>produktnr_value</t>
  </si>
  <si>
    <t>REQUEST</t>
  </si>
  <si>
    <t>employmentAgreementTemplateId</t>
  </si>
  <si>
    <t>employmentAgreementWorkingWeeklyHours</t>
  </si>
  <si>
    <t>Resurs organisation/Anställning</t>
  </si>
  <si>
    <t>Resurs organisation/Personalkategori</t>
  </si>
  <si>
    <t>Leverans/Medarbetarschema</t>
  </si>
  <si>
    <t>Borde vara en gemensam lista som heter breaks och innehåller start och slut på raster</t>
  </si>
  <si>
    <t>Frånvaro saknas i informationsmodellen</t>
  </si>
  <si>
    <t>Ekonomi/Ansvar</t>
  </si>
  <si>
    <t>Resurs organisation/Kollektivavtal</t>
  </si>
  <si>
    <t>Resurs organisation/Medarbetare</t>
  </si>
  <si>
    <t>Stämplingar saknas i informationsmodellen</t>
  </si>
  <si>
    <t>Leverans/Leveranspass</t>
  </si>
  <si>
    <t>Resurs organisation/organisatorisk enhet eller ekonomi/Ansvar</t>
  </si>
  <si>
    <t>Inget verksamhetsbegrepp, men behövs för att kunna hantera historiken</t>
  </si>
  <si>
    <t>employmentAgreementReferencePeriodLength</t>
  </si>
  <si>
    <t>employmentClass</t>
  </si>
  <si>
    <t>Medarbetarens Arbetsdags sluttid (Moderskiftet)</t>
  </si>
  <si>
    <t>Medarbetarens Arbetsdags Startklockslag för (Moderskiftet)</t>
  </si>
  <si>
    <t>isAttestedByManager</t>
  </si>
  <si>
    <t>Hur många veckor i beräkningsperioden (Reference Period)</t>
  </si>
  <si>
    <t>employmentNumber</t>
  </si>
  <si>
    <t>Anställningsnummer</t>
  </si>
  <si>
    <t>serviceDeliveryId</t>
  </si>
  <si>
    <t>serviceDeliveryTitle</t>
  </si>
  <si>
    <t>serviceDeliveryKey</t>
  </si>
  <si>
    <t>costCenterId</t>
  </si>
  <si>
    <t>originalEmployeeScheduleId</t>
  </si>
  <si>
    <t>assignedToEmployeeId</t>
  </si>
  <si>
    <t>employeeScheduleId</t>
  </si>
  <si>
    <t>isAssigned</t>
  </si>
  <si>
    <t>serviceDeliveryTaskId</t>
  </si>
  <si>
    <t>serviceDeliveryTasks</t>
  </si>
  <si>
    <t>edited</t>
  </si>
  <si>
    <t xml:space="preserve">Additional information from the employee agreement.
Sourced from (SF: Sh_EmployeeClass) through SHCMS code (Example: k11, K26… Per.Kat)
</t>
  </si>
  <si>
    <t>Employment number used in payroll processes. 
Example In Swedish: Anställningsnummer 123456
Not to be confused with "Samhall ID" example: A123456</t>
  </si>
  <si>
    <t>Indicates if the time punsch post has been deleted.
Not exposed for business.</t>
  </si>
  <si>
    <t>Internal id in timepunch table
Not exposed to business</t>
  </si>
  <si>
    <t>True if the punch is open (employee has not punched out) (true/false)</t>
  </si>
  <si>
    <t xml:space="preserve">Adjusted TimePunch after rounding or correction is done based on employee agreement or manually by manager.
</t>
  </si>
  <si>
    <t>Used for key to connect to Ansvar and Organisation, not exposed to business</t>
  </si>
  <si>
    <t>Identifies the shift the time punch is related to.
not exposed to business</t>
  </si>
  <si>
    <t>Shift Type Id connected to the punch(if shiftTaskInfo is set to true). Recomended is to use "extShiftCategoryId".</t>
  </si>
  <si>
    <t>Shift Type Name connected to the punch(if shiftTaskInfo is set to true). May be used for visualization of "uppdrag" and "närvarokod"
Ex. "Willys Finspång Städ ENLAVT"</t>
  </si>
  <si>
    <t>Unique Quinyx id for one uppgift/skifttyp (till getschedules).</t>
  </si>
  <si>
    <t>Indicates if time punch has been transferred to payroll and locked.
Not exposed to business</t>
  </si>
  <si>
    <t>Timestamp formatted as ISO8601
not exposed to business</t>
  </si>
  <si>
    <t>Samhall J4:J18comments</t>
  </si>
  <si>
    <t xml:space="preserve">Information Model: 
Area / Information Object </t>
  </si>
  <si>
    <t>0 - unassigned, 1 - assigned, 2 - NOI
Business rule: 1 = TRUE, any other value is = FALSE</t>
  </si>
  <si>
    <t>Integeration System App</t>
  </si>
  <si>
    <t>SWFMS</t>
  </si>
  <si>
    <t xml:space="preserve">External Shift Type Id connected to the punsch (if shiftTaskInfo is set to true) to request/get skifttyp.
Example: (Ansvarskod+arbetsordernummer+ närvarokod ex. 10009579434ENLAVT)
Not exposed for business
</t>
  </si>
  <si>
    <t>Comments</t>
  </si>
  <si>
    <t xml:space="preserve">System App 
Data type
</t>
  </si>
  <si>
    <t>Source System
Parameter</t>
  </si>
  <si>
    <t>Source System Data type</t>
  </si>
  <si>
    <t>Source System
Format/example</t>
  </si>
  <si>
    <t>Quinyx</t>
  </si>
  <si>
    <t>API GET Response /Request</t>
  </si>
  <si>
    <t>Approved data attribute label to be used between source and System APP developed within Samhall Integration Platform</t>
  </si>
  <si>
    <t>customerAgreementNumber</t>
  </si>
  <si>
    <t>workorderNumber</t>
  </si>
  <si>
    <t>customerNumber</t>
  </si>
  <si>
    <t>productNumber</t>
  </si>
  <si>
    <t>Arbetsorder</t>
  </si>
  <si>
    <t>Kundavtalsid</t>
  </si>
  <si>
    <t>Närvarokod</t>
  </si>
  <si>
    <t>Always weeks.</t>
  </si>
  <si>
    <t xml:space="preserve">Planning factor for how many Samhall debitable employees on the work order </t>
  </si>
  <si>
    <t>Planeringsfaktor</t>
  </si>
  <si>
    <t>Normtimmar</t>
  </si>
  <si>
    <t>DateTime?</t>
  </si>
  <si>
    <t>Produktbenämning</t>
  </si>
  <si>
    <t>productTitle</t>
  </si>
  <si>
    <t>Ex. Städ</t>
  </si>
  <si>
    <t>Produktnummer</t>
  </si>
  <si>
    <t>Slutdatum</t>
  </si>
  <si>
    <t>Startdatum</t>
  </si>
  <si>
    <t>Periodstartdatum</t>
  </si>
  <si>
    <t>periodslutdatum</t>
  </si>
  <si>
    <t>Periodtyp</t>
  </si>
  <si>
    <t>Collection Name / 
Name of end-point</t>
  </si>
  <si>
    <t>SERPS</t>
  </si>
  <si>
    <t>costCenterCode is equal to "Ansvar" and used for mapping with organisation "Ansvar" in Units</t>
  </si>
  <si>
    <t xml:space="preserve">1. Key to connect with IFS and workOrder
2. Internal table key combined with ansvarskod+
närvarokod -&gt; TimePunches "serviceDeliveryKey"
Example: (Ansvarskod+arbetsordernummer+ närvarokod ex. 10009579434ENLAVT)
</t>
  </si>
  <si>
    <t>businessUnitCode</t>
  </si>
  <si>
    <t>businessUnitTitle</t>
  </si>
  <si>
    <t>costCenterTitle</t>
  </si>
  <si>
    <t>costCenterType</t>
  </si>
  <si>
    <t>costCenterTypeTitle</t>
  </si>
  <si>
    <t>districtCode</t>
  </si>
  <si>
    <t>districtTitle</t>
  </si>
  <si>
    <t>activeFrom</t>
  </si>
  <si>
    <t>activeTo</t>
  </si>
  <si>
    <t>municipalityCode</t>
  </si>
  <si>
    <t>Kommun</t>
  </si>
  <si>
    <t>municipalityTitle</t>
  </si>
  <si>
    <t>countyCode</t>
  </si>
  <si>
    <t>countyTitle</t>
  </si>
  <si>
    <t>marketAreaCode</t>
  </si>
  <si>
    <t>marketAreaTitle</t>
  </si>
  <si>
    <t>DC, FLC, AC, …</t>
  </si>
  <si>
    <t>Distriktschef, …</t>
  </si>
  <si>
    <t>Ansvarstyp</t>
  </si>
  <si>
    <t>Ansvarstypsbenämning</t>
  </si>
  <si>
    <t>Identificator for the scheduled or absence shift. If record is not a scheduled shift scheduleId will be left out and instead populated by absenceScheduleId.</t>
  </si>
  <si>
    <t>EmployeeSchedule</t>
  </si>
  <si>
    <t>SHCMS</t>
  </si>
  <si>
    <t>IFS</t>
  </si>
  <si>
    <t>PERSONAL</t>
  </si>
  <si>
    <t>JA/NEJ</t>
  </si>
  <si>
    <t>Storkund</t>
  </si>
  <si>
    <t>isPersonnelCostCenter</t>
  </si>
  <si>
    <t>personalansvar</t>
  </si>
  <si>
    <t>Boolean (JA/NEJ)</t>
  </si>
  <si>
    <t>factor</t>
  </si>
  <si>
    <t>CreationDate</t>
  </si>
  <si>
    <t>Date/Time</t>
  </si>
  <si>
    <t>STORKUND_ID</t>
  </si>
  <si>
    <t>STORKUND_DESCRIPTION</t>
  </si>
  <si>
    <t>KUND_ID</t>
  </si>
  <si>
    <t>KUNDNAMN</t>
  </si>
  <si>
    <t>Key is either schedulId or absenceScheduleId
BUSINESS RULE IN SWFMS:
IF absenceScheduleID "has a value" = TRUE</t>
  </si>
  <si>
    <t>isAbsenceSchedule</t>
  </si>
  <si>
    <t>Ansvarsnummer</t>
  </si>
  <si>
    <t>costCenterNumber</t>
  </si>
  <si>
    <t>CostCenterOrganization</t>
  </si>
  <si>
    <t>Hemansvarsnummer</t>
  </si>
  <si>
    <t>System API utveckling skapar en lista enligt "breaks"
Borde vara en gemensam lista som heter breaks och innehåller start och slut på raster</t>
  </si>
  <si>
    <t>"GILTIG_TILL" sätts alltid till 2049-12-31 när nytt ansvar läggs upp. När man stänger ner ett ansvar sätter man datum det stängs i GILTIG_TILL. Historik finns via IFS för aktiva och ej aktiva Ansvar
Samhall Business rule for SERPS: if =2049-12-31 THEN "NULL"</t>
  </si>
  <si>
    <t>"GILTIG_FRÅN" är datum när nytt "ANSVAR" läggs upp i IFS organisationsstrukturen. Dvs. Ansvar tillkom.</t>
  </si>
  <si>
    <t>ORT_ID</t>
  </si>
  <si>
    <t>ORT_DESCRIPTION</t>
  </si>
  <si>
    <t>Eksjö</t>
  </si>
  <si>
    <t>Giltig från</t>
  </si>
  <si>
    <t>Giltig till</t>
  </si>
  <si>
    <t>Identificator for the scheduled or absence shift. If record is not a scheduled shift scheduleId will be left out and instead populated by absenceScheduleId.
BUSINESS RULE IN SWFMS:
schedueId and absenceScheduleId to populate the same column according ...
IF "absenceScheduleId" "has a values" THEN absenceScheduleId ELSE "employeeSchedulId"</t>
  </si>
  <si>
    <t>Original shift id
In an absence shift this refers to the scheduled shift it origins from. On scheduled shifts and absence shifts that does not origin from a scheduled shift orgScheduleId = 0.</t>
  </si>
  <si>
    <t>Same as TimePunches: extShiftCategoryId
If shift type is defined under integration keys it, the external code of the shift type will be included.</t>
  </si>
  <si>
    <t>Frånvaroorsak id (indirekt Qx ID)
Leave Reason Id</t>
  </si>
  <si>
    <t>Day number of absence. Nuber of days within an absence period (example: 1 = one day, 5=five days)</t>
  </si>
  <si>
    <t>By manager approved leave request / absence request.
False if shift isn’t a leave</t>
  </si>
  <si>
    <t>Identificator for the scheduled shift. If record is not a scheduled shift scheduleId will be left out.
employeeScheduleId is the ID for the scheduled Shift and is used for populating the attributes "isSceduled" and "scheduleId". 
This is a unique key and should not be empty.</t>
  </si>
  <si>
    <t>Last modified
not exposed to business</t>
  </si>
  <si>
    <t>Identificator for the unit.
used as id to connect to Ansvar and Organisation
 not exposed</t>
  </si>
  <si>
    <t>identificator for the assigned employee. 0 if shift is unassigned.
Bemannade eller obemannade skift</t>
  </si>
  <si>
    <t>Identificator for an absence shift.
If an absence shift origins from a scheduled shift, a reference to it will be in orgScheduleId.
absenseScheduleId is the ID for the absense Shift and is used for populating the attributes "isSceduled" and "scheduleId".</t>
  </si>
  <si>
    <t>10001828, 1000733</t>
  </si>
  <si>
    <t xml:space="preserve">WILLY:S;  IKEA Industry Älmhult AB,... </t>
  </si>
  <si>
    <t>WILLY:S(AXTORES), "IKEA/Ikano", ..</t>
  </si>
  <si>
    <t>1543, …</t>
  </si>
  <si>
    <t xml:space="preserve">STORKUND_ID is used for sorting out customers tagges as storkund by the rule "IF STORKUND_ID = 30 THEN FALSE".
</t>
  </si>
  <si>
    <t>Kundnamn</t>
  </si>
  <si>
    <t>cityId</t>
  </si>
  <si>
    <t>OrtID</t>
  </si>
  <si>
    <t>Ort</t>
  </si>
  <si>
    <t>ORT_ID - ID of the city, sourced from IFS and connected with ANSVAR. 
Source: IFS - Tabell GEOGRAFI
Logic: ANSVAR = Active and Not Active
Response: ORT_ID, ORT_DESCRIPTION, ANSVAR
Example Borås 5: 11120, Borås, 101196</t>
  </si>
  <si>
    <t>ORT_DESCRIPTION - Name of the city, sourced from IFS and connected with ANSVAR. 
Source: IFS - Tabell GEOGRAFI
Logic: ANSVAR = Active and Not Active
Response: ORT_ID, ORT_DESCRIPTION, ANSVAR
Example Borås 5: 11120, Borås, 101196</t>
  </si>
  <si>
    <t>Identificator for a deleted shift, the id is the same as before deletion.</t>
  </si>
  <si>
    <t>costEstimate</t>
  </si>
  <si>
    <t>salaryTypeExtCode</t>
  </si>
  <si>
    <t>Not used</t>
  </si>
  <si>
    <t>unAssigned</t>
  </si>
  <si>
    <t>Identificator for the scheduled or absence shift.</t>
  </si>
  <si>
    <t>leaveId</t>
  </si>
  <si>
    <t>Identificator from the type of leave</t>
  </si>
  <si>
    <t>leaveExtCode</t>
  </si>
  <si>
    <t>0 = scheduled shift
1 = absence shift</t>
  </si>
  <si>
    <t>complexType: subShift</t>
  </si>
  <si>
    <t>integer</t>
  </si>
  <si>
    <t>Task id</t>
  </si>
  <si>
    <t>Shift type id</t>
  </si>
  <si>
    <t>Shift type name</t>
  </si>
  <si>
    <t>Task beg time</t>
  </si>
  <si>
    <t>Task end time</t>
  </si>
  <si>
    <t>Section id</t>
  </si>
  <si>
    <t>complexType: ShiftCategoriesTag</t>
  </si>
  <si>
    <t>Array of TagCustomField</t>
  </si>
  <si>
    <t>complexType: TagCustomField</t>
  </si>
  <si>
    <t>label</t>
  </si>
  <si>
    <t>Array on subShift:
Task id</t>
  </si>
  <si>
    <t>Array on subShift:
Shift type id</t>
  </si>
  <si>
    <t>Array on subShift:
Task beg time</t>
  </si>
  <si>
    <t>Array on subShift:
Task end time</t>
  </si>
  <si>
    <t>Uppgift</t>
  </si>
  <si>
    <t>Uppgiftens starttid</t>
  </si>
  <si>
    <t>Uppgiftens sluttid</t>
  </si>
  <si>
    <t>Personalkategorinamn</t>
  </si>
  <si>
    <t xml:space="preserve">K11, k25 </t>
  </si>
  <si>
    <t>KU, AMT, ..</t>
  </si>
  <si>
    <t>Personalkategorikodnamn</t>
  </si>
  <si>
    <t>Creation date when the customer became a active Samhall customer.IFS Endpoint: CustomerHandling.svc ??</t>
  </si>
  <si>
    <t>Deactivation when a customer is no longer a Samhal customer. IFS Endpoint: CustomerHandling.svc ??</t>
  </si>
  <si>
    <t>lkjjuj</t>
  </si>
  <si>
    <t>MV: När stäplingen börjar efter avrundning) Ej Original Time</t>
  </si>
  <si>
    <t>Unique ID of the leave application
MV: Nyckel i att identifiera olika frånvaro, instämpl mm. Lön är en intressent</t>
  </si>
  <si>
    <t>gender</t>
  </si>
  <si>
    <t>Kön</t>
  </si>
  <si>
    <t>Schema</t>
  </si>
  <si>
    <t>Array on SubShifts
THE ID OF THE SUBSHIFT OF MY SCHEDULE, NOT THE ID OF THE SHIFT TYPES.</t>
  </si>
  <si>
    <t>Description</t>
  </si>
  <si>
    <t>costCenterSchedulePublishedDate</t>
  </si>
  <si>
    <t>Ansvar har publicerat schema till datum</t>
  </si>
  <si>
    <t>To which date shifts are published by Ansvar in the employee section and can be booked.</t>
  </si>
  <si>
    <t>Persons</t>
  </si>
  <si>
    <t>subShift - id</t>
  </si>
  <si>
    <t>subShift - begTime</t>
  </si>
  <si>
    <t>subShift - categoryId</t>
  </si>
  <si>
    <t>subShift - endTime</t>
  </si>
  <si>
    <t xml:space="preserve">Storkund is customers invoced &gt; 1MSEK per Year
It is the consolidated name for the customer group and is  used as for filtering and grouping. Example, filtering on Hemköp will give smaller grossery stores without ICA in the customer name
</t>
  </si>
  <si>
    <t>Customers</t>
  </si>
  <si>
    <t xml:space="preserve">Samhall name on the customer. </t>
  </si>
  <si>
    <t>Samhall Customer Number  sourced from IFS. 
A gross list over All Customers available in ERP, active and not active. 
(Name Customer number is also used in Quinyx Tags)
Following fields in the kogic:
- Active = TRUE/FALSE
- activeFrom
- ActiveTo</t>
  </si>
  <si>
    <t>CustomerPlanningDocuments</t>
  </si>
  <si>
    <t>OrganisationUnits</t>
  </si>
  <si>
    <t>Nytt attribut skapas i SERPS: Kundkategori</t>
  </si>
  <si>
    <t>CustomerGroupCategory</t>
  </si>
  <si>
    <t>CustomerGroupTitle</t>
  </si>
  <si>
    <t>CustomerGroupKey</t>
  </si>
  <si>
    <t>Storkundsnamn</t>
  </si>
  <si>
    <t>customerTitle</t>
  </si>
  <si>
    <t>Kundgrupperingskategori</t>
  </si>
  <si>
    <t>Created in SERPS.
Customer grouping object. Initial customer grouping object is "Storkund".</t>
  </si>
  <si>
    <t>Quinyx original attribute</t>
  </si>
  <si>
    <t>TagCustomeFiled - label</t>
  </si>
  <si>
    <t>TagCustomeFiled - value</t>
  </si>
  <si>
    <t>Array on SubShifts
SubShiftCataoryId - Key used for connection Schedule/subShifts with Tags (GetTags) to provide Schedule and Tasks.
Code for the subShiftCategoryId
Ex: "37xxxxx" corresponds with subShiftCatagoryName "kaffebackens förskola - Städ - …"</t>
  </si>
  <si>
    <t>Join with endTime</t>
  </si>
  <si>
    <t>Join with startTime</t>
  </si>
  <si>
    <t>workingdayEndDateTime</t>
  </si>
  <si>
    <t>workingdayStartDateTime</t>
  </si>
  <si>
    <t>payRollId</t>
  </si>
  <si>
    <t>employeeLeaveApplicationId</t>
  </si>
  <si>
    <t>timePunchId</t>
  </si>
  <si>
    <t>salaryTypeKey</t>
  </si>
  <si>
    <t>isAttestedByEmployee</t>
  </si>
  <si>
    <t>Attesterad av medarbetare</t>
  </si>
  <si>
    <t>Startdatum för löneart</t>
  </si>
  <si>
    <t>Person</t>
  </si>
  <si>
    <t>Type</t>
  </si>
  <si>
    <t>Beskrivning</t>
  </si>
  <si>
    <t>firstName</t>
  </si>
  <si>
    <t>Förnamn ifrån PerPersonal</t>
  </si>
  <si>
    <t>lastName</t>
  </si>
  <si>
    <t>Efternamn ifrån PerPersonal</t>
  </si>
  <si>
    <t>costCenter</t>
  </si>
  <si>
    <t>Ansvar ifrån PerPersonal/personNav/employmentNav/jobInfoNav/customString18</t>
  </si>
  <si>
    <t>emailAddress</t>
  </si>
  <si>
    <t>Email adress, den anställdes email-adress om den finns annars närmsta chefs email-adress</t>
  </si>
  <si>
    <t>personCategory</t>
  </si>
  <si>
    <t>Personalkategori</t>
  </si>
  <si>
    <t>samhallId</t>
  </si>
  <si>
    <t>SamhallId</t>
  </si>
  <si>
    <t>originalStartDate</t>
  </si>
  <si>
    <t>Anställningsdatum</t>
  </si>
  <si>
    <t>Postadress [Privat]</t>
  </si>
  <si>
    <t>areaOfBusiness</t>
  </si>
  <si>
    <t>Verksamhetsområde</t>
  </si>
  <si>
    <t>businessPhone</t>
  </si>
  <si>
    <t>Telefonnummer [Arbete]</t>
  </si>
  <si>
    <t>businessUnit</t>
  </si>
  <si>
    <t>Marknadsområde MO</t>
  </si>
  <si>
    <t>cellPhonePrivate</t>
  </si>
  <si>
    <t>Mobilnummer [Privat]</t>
  </si>
  <si>
    <t>cellPhoneWork</t>
  </si>
  <si>
    <t>Mobilnummer [Arbete]</t>
  </si>
  <si>
    <t>cfar</t>
  </si>
  <si>
    <t>CFAR</t>
  </si>
  <si>
    <t>Stad</t>
  </si>
  <si>
    <t>companyId</t>
  </si>
  <si>
    <t>Företag</t>
  </si>
  <si>
    <t>c_O</t>
  </si>
  <si>
    <t>C/O adress</t>
  </si>
  <si>
    <t>Födelsedatum</t>
  </si>
  <si>
    <t>division</t>
  </si>
  <si>
    <t>emailAddressPrivate</t>
  </si>
  <si>
    <t>Privat E-postadress</t>
  </si>
  <si>
    <t>emailAddressWork</t>
  </si>
  <si>
    <t>Jobb (Samhall) E-postadress</t>
  </si>
  <si>
    <t>employeeType</t>
  </si>
  <si>
    <t>Anställningsform</t>
  </si>
  <si>
    <t>employmentRate</t>
  </si>
  <si>
    <t>Sysselsättningsgrad</t>
  </si>
  <si>
    <t>Avgångsdatum</t>
  </si>
  <si>
    <t>eventReason</t>
  </si>
  <si>
    <t>Avgångsorsak</t>
  </si>
  <si>
    <t>flexAgreement</t>
  </si>
  <si>
    <t>Flexavtal</t>
  </si>
  <si>
    <t>holidayRight</t>
  </si>
  <si>
    <t>Semesterrätt</t>
  </si>
  <si>
    <t>homePhone</t>
  </si>
  <si>
    <t>Telefonnummer [Privat]</t>
  </si>
  <si>
    <t>isStamping</t>
  </si>
  <si>
    <t>Stämplar tid</t>
  </si>
  <si>
    <t>jobCode</t>
  </si>
  <si>
    <t>Befattning</t>
  </si>
  <si>
    <t>lastDateWorked</t>
  </si>
  <si>
    <t>Sista arbetsdag</t>
  </si>
  <si>
    <t>nationalId</t>
  </si>
  <si>
    <t>Personnummer</t>
  </si>
  <si>
    <t>obAgreement</t>
  </si>
  <si>
    <t>Typ av OB avtal</t>
  </si>
  <si>
    <t>overtime</t>
  </si>
  <si>
    <t>Övertidsersättning</t>
  </si>
  <si>
    <t>placeOfEmployment</t>
  </si>
  <si>
    <t>Tjänsteställe</t>
  </si>
  <si>
    <t>stampCardNumber</t>
  </si>
  <si>
    <t>Stämpelkortnummer</t>
  </si>
  <si>
    <t>standardHours</t>
  </si>
  <si>
    <t>Veckoarbetstid</t>
  </si>
  <si>
    <t>streetAddress</t>
  </si>
  <si>
    <t>Utdelningsadress</t>
  </si>
  <si>
    <t>timeSystemDatabase</t>
  </si>
  <si>
    <t>Tidssystem database</t>
  </si>
  <si>
    <t>Postnummer [Privat]</t>
  </si>
  <si>
    <t>workplace</t>
  </si>
  <si>
    <t>Array</t>
  </si>
  <si>
    <t>Postort [Arbete]</t>
  </si>
  <si>
    <t>PostAdress [Arbete]</t>
  </si>
  <si>
    <t>Postnummer [Arbete]</t>
  </si>
  <si>
    <t>manager</t>
  </si>
  <si>
    <t>SamhallId för chef</t>
  </si>
  <si>
    <t>Förnamn</t>
  </si>
  <si>
    <t>Efternamn</t>
  </si>
  <si>
    <t>fullInfo</t>
  </si>
  <si>
    <t>Cheftens information ihopslagen: [EFternamn] [Förnamn] - [Id]</t>
  </si>
  <si>
    <t>}</t>
  </si>
  <si>
    <t>manager - firstName</t>
  </si>
  <si>
    <t>manager - lastName</t>
  </si>
  <si>
    <t>Sven</t>
  </si>
  <si>
    <t>Svensson</t>
  </si>
  <si>
    <t xml:space="preserve">manager - costcenter </t>
  </si>
  <si>
    <t>manager - employeeId</t>
  </si>
  <si>
    <t>Chef förnamn</t>
  </si>
  <si>
    <t>Chef efternamn</t>
  </si>
  <si>
    <t xml:space="preserve">salaryTypeStartDate </t>
  </si>
  <si>
    <t>salaryBasedHours</t>
  </si>
  <si>
    <t>Timar och avdrag för hur mycket som ska debiteras per medarbetare. (Avvikelser från grundlön)
(named in SQISS to "Quantity")</t>
  </si>
  <si>
    <t>Löneartstimmar</t>
  </si>
  <si>
    <t>Integer?</t>
  </si>
  <si>
    <t>TimeReports</t>
  </si>
  <si>
    <t>employmentClassTitle</t>
  </si>
  <si>
    <t>serviceDeliveryTaskStartTime</t>
  </si>
  <si>
    <t>serviceDeliveryTaskEndTime</t>
  </si>
  <si>
    <t>cx</t>
  </si>
  <si>
    <t>Leverans/Leveranspass
Ex. 10001079325ENLAVT
Key connect with Schedule = shiftTypeExternalCode</t>
  </si>
  <si>
    <t>CostCenterManagers</t>
  </si>
  <si>
    <t>manager.ansvar@samhall.se</t>
  </si>
  <si>
    <t>epost</t>
  </si>
  <si>
    <t>Sourced from SuccessFactor and SHCMS with  "Personalkategorikod" (k11, K26… )</t>
  </si>
  <si>
    <t>Sourced from SuccessFactor and SHCMS with "Personalkategorikodnamn" (KU, AMT… )</t>
  </si>
  <si>
    <t>Ansvar (Cost center) the employee is employed for. (hemansvar)</t>
  </si>
  <si>
    <t xml:space="preserve">Employment number (Anställningsnummer) for the employee
Note that "Anställningsnummer" = 123456 and  "Samhall ID" = A123456 differs as Samhall ID have a capital letter as prefix. </t>
  </si>
  <si>
    <t xml:space="preserve">Employment number (Anställningsnummer) for the manager. 
Note that "Anställningsnummer" = 123456 and  "Samhall ID" = A123456 differs as Samhall ID have a capital letter as prefix. </t>
  </si>
  <si>
    <t>Ansvar (Cost Center) manager is managing</t>
  </si>
  <si>
    <t>surname of manager</t>
  </si>
  <si>
    <t>forename of manager</t>
  </si>
  <si>
    <t>Gender of the employee</t>
  </si>
  <si>
    <t>Email is used for information security and access restrictions on Power BI datasets. Will not be displayed in any reports, only serve in the backend. In SDA restrictions to be set only showing "Chef över ansvar" emails.</t>
  </si>
  <si>
    <t>Portfolio</t>
  </si>
  <si>
    <t>Planning</t>
  </si>
  <si>
    <t>Primary Key</t>
  </si>
  <si>
    <t>EmployeeSchedule_SK</t>
  </si>
  <si>
    <t>managerEmploymentNumber</t>
  </si>
  <si>
    <t>SuccessFactors</t>
  </si>
  <si>
    <t>CostCenters</t>
  </si>
  <si>
    <t>DeactivationDate</t>
  </si>
  <si>
    <t>Sidan Redovisningsstruktur &gt; sök på Struktur-ID =  ORGANISATION &gt; leta bland mapparna</t>
  </si>
  <si>
    <t>Samma som ovan</t>
  </si>
  <si>
    <t>Sidan Fria koddelar &gt; fliken Ansvar</t>
  </si>
  <si>
    <t>Sidan Fria koddelar &gt; högerklicka på ett ansvar &gt; Koppling för koddelsegenskap &gt; Se kolumnen Egenskapsvärde på raden Egenskap = Typ</t>
  </si>
  <si>
    <t>Samma som ovan fast kolumnen Beskrivning</t>
  </si>
  <si>
    <t>Sidan Redovisningsstruktur &gt; sök på Struktur-ID = ORGANISATION &gt; leta bland mapparna</t>
  </si>
  <si>
    <t>Sidan Fria koddelar &gt; fältet Giltig fr.o.m.</t>
  </si>
  <si>
    <t>Sidan Fria koddelar &gt; fältet Giltig t.o.m.</t>
  </si>
  <si>
    <t>Sidan Redovisningsstruktur &gt; sök på Struktur-ID =  GEOGRAFI &gt; leta bland mapparna</t>
  </si>
  <si>
    <t>Sidan Redovisningsstruktur &gt; sök på Struktur-ID =  GEOGRAFI &gt; leta bland mapparna, nivå 4</t>
  </si>
  <si>
    <t>Sidan Fria koddelar &gt; högerklicka på ett ansvar &gt; Koppling för koddelsegenskap &gt; Se kolumnen Egenskapsvärde på raden Egenskap = PERSONAL</t>
  </si>
  <si>
    <t>Sidan Fria koddelar &gt; fliken Kund &gt; Giltig från</t>
  </si>
  <si>
    <t>Sidan Fria koddelar &gt; fliken Kund &gt; Giltig till</t>
  </si>
  <si>
    <t>Sidan Fria koddelar &gt; fliken Kund</t>
  </si>
  <si>
    <t>N/A</t>
  </si>
  <si>
    <t>Sidan Redovisningsstruktur &gt; sök på Struktur-ID =  STORKUND &gt; leta bland mapparna</t>
  </si>
  <si>
    <t>Find the parameter in Source System (for E2E testing)</t>
  </si>
  <si>
    <t>CostCenterManager</t>
  </si>
  <si>
    <t>SF Table source: perPersonal</t>
  </si>
  <si>
    <t>SF Table source: TBD</t>
  </si>
  <si>
    <t>SF Table source: NA</t>
  </si>
  <si>
    <t>Identifierar om ett Ansvar har Personal.
Källa IFS: 2Kopplingförkoddelsegenskap 210 
Logik: Egenskap=Personal, Koddel=B 
Response: Koddelsvärde (ANSVAR), Egenskapsvärde (JA/NEJ)
Exempel Borås 5: 101196, JA
Rutimer vid uppdatering av Ansvar: När ett Ansvar stängs sätts "Personal" till "NEJ" efter att "aktivt till" datum har passerats. Alla stängda Ansvar har då "isPersonelCostCenter" = "Nej"</t>
  </si>
  <si>
    <t>activeFrom = startdatum = första anställningsdag på samhall
activeTo = slutdatum = sista anställningsdag för senaste anställningsperiod. (kan även vara planerad sista anställningsdag) 
Återanvänder SHCMS logik utvecklad av DPL för Start- &amp; slutdatum för medarbetarintegrationen. 
Startdatum är det tidigaste datumet från tidigast anställningsperiod från SF händelsekategorier PR_KA, MI, UPPDR, DI_TM, NY_ANST, AMT_DE.
Slutdatum är ...sista anställningsdag i den senaste anställningsperioden.</t>
  </si>
  <si>
    <t>Period Start date
Business rule: Only used when Närvarukod = ENLAVT</t>
  </si>
  <si>
    <t>Period End Date</t>
  </si>
  <si>
    <t>Work order(Arbetsorder) Start Date</t>
  </si>
  <si>
    <t>Selection of data used from Source System</t>
  </si>
  <si>
    <t>Integration Platform System Application</t>
  </si>
  <si>
    <t>Date naming approved for IPF</t>
  </si>
  <si>
    <t>Fact or Dimension</t>
  </si>
  <si>
    <t>Display name suggestion (SE)</t>
  </si>
  <si>
    <t>System App Atribute names (EN)</t>
  </si>
  <si>
    <t>Source System 
API</t>
  </si>
  <si>
    <t xml:space="preserve">Source System </t>
  </si>
  <si>
    <t>NEW</t>
  </si>
  <si>
    <t>serviceDeliveryTasks_id</t>
  </si>
  <si>
    <t>serviceDeliveryTasks_serviceDeliveryId</t>
  </si>
  <si>
    <t>serviceDeliveryTasks_startTime</t>
  </si>
  <si>
    <t>serviceDeliveryTasks_endTime</t>
  </si>
  <si>
    <t>EmpSch_employmentNumber</t>
  </si>
  <si>
    <t>personsCostCenter_number</t>
  </si>
  <si>
    <t>homeCostCenter</t>
  </si>
  <si>
    <t>orgCostCenter</t>
  </si>
  <si>
    <t>SDA Data and information</t>
  </si>
  <si>
    <t>workCostCenterId</t>
  </si>
  <si>
    <t>fEmployeeSchedule</t>
  </si>
  <si>
    <t>isAssignedToEmployeeId</t>
  </si>
  <si>
    <t>Info</t>
  </si>
  <si>
    <t>if shift is assigned to an employee</t>
  </si>
  <si>
    <t>isDeletedScheduleId</t>
  </si>
  <si>
    <t>isDeletedSchedule</t>
  </si>
  <si>
    <t>ONLY if the new deleted schedule table is at employeeScheduleID granularity</t>
  </si>
  <si>
    <t/>
  </si>
  <si>
    <t>scheduleIdDeletedDateTime</t>
  </si>
  <si>
    <t>format YYYY-MM-DD HH:MM</t>
  </si>
  <si>
    <t>scheduleIdDeletedDate</t>
  </si>
  <si>
    <t>format YYYY-MM-DD</t>
  </si>
  <si>
    <t>Use group by and calculate AVERAGE for each unique employeeScheduleID. should be in employeeSchedule table and unique for employeeSccheduleId</t>
  </si>
  <si>
    <t>break1Start</t>
  </si>
  <si>
    <t>break2Start</t>
  </si>
  <si>
    <t>break3Start</t>
  </si>
  <si>
    <t>break4Start</t>
  </si>
  <si>
    <t>break1End</t>
  </si>
  <si>
    <t>break2End</t>
  </si>
  <si>
    <t>break3End</t>
  </si>
  <si>
    <t>break4End</t>
  </si>
  <si>
    <t>unique id for EmployeeScheduledTask table?</t>
  </si>
  <si>
    <t>taskStartDate</t>
  </si>
  <si>
    <t>taskEndDate</t>
  </si>
  <si>
    <t>isScheduledHours</t>
  </si>
  <si>
    <t>question? Correct to apply to taskDuration?</t>
  </si>
  <si>
    <t>employmentCategory</t>
  </si>
  <si>
    <t>employeeAttendanceName</t>
  </si>
  <si>
    <t>workingDayStartDate</t>
  </si>
  <si>
    <t>workingDayEndDate</t>
  </si>
  <si>
    <t>dPerson</t>
  </si>
  <si>
    <t>activeFromDate</t>
  </si>
  <si>
    <t>activeToDate</t>
  </si>
  <si>
    <t>costCenter_number</t>
  </si>
  <si>
    <t>employmentClass_code</t>
  </si>
  <si>
    <t>renamed from employeeClass</t>
  </si>
  <si>
    <t>employmentClass_title</t>
  </si>
  <si>
    <t>employmentCategoryName</t>
  </si>
  <si>
    <t>renamed from employmentClassName</t>
  </si>
  <si>
    <t>dPersonAttendanceSalaryType</t>
  </si>
  <si>
    <t>serviceDeliveryCategory</t>
  </si>
  <si>
    <t>employeeAttendanceCategory</t>
  </si>
  <si>
    <t>employeeAttendanceType</t>
  </si>
  <si>
    <t>place holder, will have value: frånvaro, närvaro</t>
  </si>
  <si>
    <t>dCustomer</t>
  </si>
  <si>
    <t>number</t>
  </si>
  <si>
    <t>title</t>
  </si>
  <si>
    <t>customerName</t>
  </si>
  <si>
    <t>group_category</t>
  </si>
  <si>
    <t>customerCategory</t>
  </si>
  <si>
    <t>group_title</t>
  </si>
  <si>
    <t>customerGroupName</t>
  </si>
  <si>
    <t>group_key</t>
  </si>
  <si>
    <t>customerGroupKey</t>
  </si>
  <si>
    <t>not sure if needed in AS-model</t>
  </si>
  <si>
    <t>Customers_SK</t>
  </si>
  <si>
    <t>dCalendar</t>
  </si>
  <si>
    <t>will get feedback from Samhall about FY and other special period namings</t>
  </si>
  <si>
    <t>quarter</t>
  </si>
  <si>
    <t>monthName</t>
  </si>
  <si>
    <t>in SE</t>
  </si>
  <si>
    <t>week</t>
  </si>
  <si>
    <t>yearQuarter</t>
  </si>
  <si>
    <t>format YYQQ, example 21Q1</t>
  </si>
  <si>
    <t>yearMonth</t>
  </si>
  <si>
    <t>format YYMM, example 2109, 2111</t>
  </si>
  <si>
    <t>yearWeek</t>
  </si>
  <si>
    <t>format YYWW, example 2101, 2135</t>
  </si>
  <si>
    <t>day</t>
  </si>
  <si>
    <t>dayName</t>
  </si>
  <si>
    <t>dayofWeek</t>
  </si>
  <si>
    <t>dayofYear</t>
  </si>
  <si>
    <t>costCenterName</t>
  </si>
  <si>
    <t>editedDateTime</t>
  </si>
  <si>
    <t>costCenterCodeName</t>
  </si>
  <si>
    <t>marketAreaName</t>
  </si>
  <si>
    <t>districtName</t>
  </si>
  <si>
    <t>businessUnitName</t>
  </si>
  <si>
    <t>municipalityName</t>
  </si>
  <si>
    <t>countyName</t>
  </si>
  <si>
    <t>costCenterTypeName</t>
  </si>
  <si>
    <t>cityPostCode</t>
  </si>
  <si>
    <t>fact</t>
  </si>
  <si>
    <t>fTimePunch</t>
  </si>
  <si>
    <t>TimePunchId_Quinyx</t>
  </si>
  <si>
    <t>renamed from employmentClass</t>
  </si>
  <si>
    <t>timePunchIsDeleted</t>
  </si>
  <si>
    <t>double check: what is deleted?</t>
  </si>
  <si>
    <t>reportedHours_quinyx</t>
  </si>
  <si>
    <t>isOpenTimePunch</t>
  </si>
  <si>
    <t>originalPunchInDate</t>
  </si>
  <si>
    <t>originalPunchOutDate</t>
  </si>
  <si>
    <t>adjustedPunchInDate</t>
  </si>
  <si>
    <t>adjustedPunchOutDate</t>
  </si>
  <si>
    <t>FK for workCC to dOrgUnit, check with Ankur if dOrgUnit sk should be used</t>
  </si>
  <si>
    <t>should be in dServiceDelivery. It's same level as Work order task.</t>
  </si>
  <si>
    <t>TimePunches_BK</t>
  </si>
  <si>
    <t>TimeReports_SK</t>
  </si>
  <si>
    <t>should show ID e.g. "48031"</t>
  </si>
  <si>
    <t>salaryTypeStartDate</t>
  </si>
  <si>
    <t>= adjustedPunchinStartDate, logic to be confirmed. Only keep date</t>
  </si>
  <si>
    <t>data logic &amp; naming to be confirmed</t>
  </si>
  <si>
    <t>workCostCenterCode</t>
  </si>
  <si>
    <t>IMPORTANT: analyse full dataset dim_CustomerPlanningDocuments to verify cardinality = granuality as example below</t>
  </si>
  <si>
    <t>short date format YYYY-MM-DD</t>
  </si>
  <si>
    <t>SDA STAGE 2 Column name</t>
  </si>
  <si>
    <t>SDA DB Column Name</t>
  </si>
  <si>
    <t>SDA DB Key?</t>
  </si>
  <si>
    <t>CustomerPlanningDocuments_SK</t>
  </si>
  <si>
    <t>CustomerPlanningDocuments_BK</t>
  </si>
  <si>
    <t>NOTE, changed!
Boolean</t>
  </si>
  <si>
    <t>Array on SubShifts
Build …DateTime by joining the "subShiftBegTime" with "begDate" on Mothershift. 
Start time of the Service DeliveryTask (subShift)
This is unique Tag information existing only on SubShift…</t>
  </si>
  <si>
    <t>Array on SubShifts
End time of the Service DeliveryTask (subShift)
Build …DateTime by joining the "subShiftEndTime" with "endDate" on Mothershift. 
This is unique Tag information existing only on SubShift…</t>
  </si>
  <si>
    <t>ServiceDeliveryId is not required in the initial data model</t>
  </si>
  <si>
    <t>The Array of subshifts</t>
  </si>
  <si>
    <t>SDA Data Mart Table Names</t>
  </si>
  <si>
    <t>SDA Data Mart Column Names</t>
  </si>
  <si>
    <t>SDA Alias in AS (SE)</t>
  </si>
  <si>
    <t>SDA AS Model Column Name (EN)</t>
  </si>
  <si>
    <t>taskDuration_calculated</t>
  </si>
  <si>
    <t>Hemansvar</t>
  </si>
  <si>
    <t>Ledig kapacitet i timmar</t>
  </si>
  <si>
    <t>Överbemanning eller underbemanning</t>
  </si>
  <si>
    <t>Debiterbar tid i timmar</t>
  </si>
  <si>
    <t>Planeringsobjekt</t>
  </si>
  <si>
    <t>Uppdrag</t>
  </si>
  <si>
    <t xml:space="preserve"> ex.. 101091 Halmstad 3</t>
  </si>
  <si>
    <t>Timmar bemannade uppgifter</t>
  </si>
  <si>
    <t>Planerade debiterbara timmar</t>
  </si>
  <si>
    <t>Tillgänglig tid i timmar</t>
  </si>
  <si>
    <t>Närvarokod tillgänglig (TILLG)</t>
  </si>
  <si>
    <t>Planeringsöversikt i timmar</t>
  </si>
  <si>
    <t>1001001110 - Karlstad 12</t>
  </si>
  <si>
    <t>Page</t>
  </si>
  <si>
    <t>Budget vs Actual</t>
  </si>
  <si>
    <t>New page name</t>
  </si>
  <si>
    <t>Planering mot behov</t>
  </si>
  <si>
    <t>Kundalias + service + Närvarokod - ex: Boviva Halmstad Städ ENLAVT, "serviceDeliveryTitle"</t>
  </si>
  <si>
    <t>option to use "Anstnr"</t>
  </si>
  <si>
    <t>employmentClassCategory</t>
  </si>
  <si>
    <t>Personalkategorigrupp</t>
  </si>
  <si>
    <t>home CC</t>
  </si>
  <si>
    <t>worked hours</t>
  </si>
  <si>
    <t>Planerad tid i timmar</t>
  </si>
  <si>
    <t>Number of employee</t>
  </si>
  <si>
    <t>Antal planerade medarbetare</t>
  </si>
  <si>
    <t>agreementhours</t>
  </si>
  <si>
    <t>taskNetDuration</t>
  </si>
  <si>
    <t>count of employeenumber</t>
  </si>
  <si>
    <t>ledigKapacitet</t>
  </si>
  <si>
    <t>EmployeeWorkedHours</t>
  </si>
  <si>
    <t>Planeringsöversikt</t>
  </si>
  <si>
    <t>YearMont</t>
  </si>
  <si>
    <t>YearWeek</t>
  </si>
  <si>
    <t>År &amp; vecka</t>
  </si>
  <si>
    <t>År &amp; månad</t>
  </si>
  <si>
    <t>MunicipalityName</t>
  </si>
  <si>
    <t>Uppgift / ServiceDeliveryTitle</t>
  </si>
  <si>
    <t>SeviceDeliveryName</t>
  </si>
  <si>
    <t>Is ServiceDelivaryName same as ServiceDeliveryTitle? (Malale)</t>
  </si>
  <si>
    <t>Uppdragsansvar</t>
  </si>
  <si>
    <t>Månadsöversikt</t>
  </si>
  <si>
    <t>Kundalias + service  - ex: Boviva Halmstad Städ -</t>
  </si>
  <si>
    <t>Month Overview /Monthly View</t>
  </si>
  <si>
    <t>CC View</t>
  </si>
  <si>
    <t>Översikt per Ansvar</t>
  </si>
  <si>
    <t>Monthly View</t>
  </si>
  <si>
    <t>ServiceDeliveryTitle - ProductTitle-CauseForAttendance</t>
  </si>
  <si>
    <t>Add a info button with definition of this: Planerade debiterbara timmar jämfört med Normtimmar - Planerade debiterbara timmar - Normtimmar</t>
  </si>
  <si>
    <t>Över- eller underbemanning</t>
  </si>
  <si>
    <t>Sourced from IFS "Kundalias" - ex: Boviva Halmstad (Alias i IFS…), we are using "serviceDeliveryTitle"-ProductTitle"-"CauseForAttendance" = PlanningObject</t>
  </si>
  <si>
    <t>DM Name</t>
  </si>
  <si>
    <t>AS Name</t>
  </si>
  <si>
    <t xml:space="preserve">Ansvar is both "AssignemntAnsvar" and "HomeAnsvar" for a person working for his/her HomeAnsvar </t>
  </si>
  <si>
    <t>agreementHours</t>
  </si>
  <si>
    <t>debiterbarTid</t>
  </si>
  <si>
    <t>serviceDeliveryName (currently)</t>
  </si>
  <si>
    <t>PBI bookmark</t>
  </si>
  <si>
    <t xml:space="preserve">currently ServiceDeliveryName </t>
  </si>
  <si>
    <t>calculation see tab dax Calculation</t>
  </si>
  <si>
    <t>calculation see tab dax calculation</t>
  </si>
  <si>
    <t>costCenterNumber (in view HomeCostCenter)</t>
  </si>
  <si>
    <t>costCenterNumber ( in view workCostCenter)</t>
  </si>
  <si>
    <t>PBI Title</t>
  </si>
  <si>
    <t>YearMonth</t>
  </si>
  <si>
    <t>DM Table</t>
  </si>
  <si>
    <t>dCustomerWorkOrder</t>
  </si>
  <si>
    <t>fEmployeeScheduleTask</t>
  </si>
  <si>
    <t>dWorkCostCenter</t>
  </si>
  <si>
    <t>dHomeCostCenter</t>
  </si>
  <si>
    <t>dCauseForAttendance</t>
  </si>
  <si>
    <t>dServiceDelivery</t>
  </si>
  <si>
    <t>Medarbetare</t>
  </si>
  <si>
    <t>Kunder</t>
  </si>
  <si>
    <t>Datum</t>
  </si>
  <si>
    <t>dEmployeeSchedule</t>
  </si>
  <si>
    <t>Arbetsorder kund</t>
  </si>
  <si>
    <t>Schemalagda uppgifter</t>
  </si>
  <si>
    <t>Uppgifter mot arbetsorder</t>
  </si>
  <si>
    <t xml:space="preserve">SE Alias Name DM Table </t>
  </si>
  <si>
    <t>Kalkylerad datum tabell</t>
  </si>
  <si>
    <t>ServiceDeliveryKey, Name, Title + Emp.No + Emp.Sched.Task</t>
  </si>
  <si>
    <t>Planerade uppgifter</t>
  </si>
  <si>
    <t>Närvarokoder</t>
  </si>
  <si>
    <t>Personalkategori, Personalkategorigrupp, hemansvar, kön, anstnr</t>
  </si>
  <si>
    <t>data</t>
  </si>
  <si>
    <t>Ansvar, kundnr, avtalsnr, faktor, produkt, normtimmar, AO</t>
  </si>
  <si>
    <t>Ansvar + org.struktur</t>
  </si>
  <si>
    <t>Kund, stokund, kundnr.</t>
  </si>
  <si>
    <t xml:space="preserve">Raster, Anstnr, personalkat, planerad uppgifts info, </t>
  </si>
  <si>
    <t>Närvarokoder, Ansvar, AO, Uppgiftsnyckel</t>
  </si>
  <si>
    <t>Dim/Fact</t>
  </si>
  <si>
    <t>dim</t>
  </si>
  <si>
    <t>Alterntiv SE benämning</t>
  </si>
  <si>
    <r>
      <t xml:space="preserve">Arbetsorder för uppdrag och Ansvar mot kundavtal
</t>
    </r>
    <r>
      <rPr>
        <i/>
        <sz val="11"/>
        <color theme="1"/>
        <rFont val="Calibri"/>
        <family val="2"/>
        <scheme val="minor"/>
      </rPr>
      <t>Workorder by task and CC by customer agreement</t>
    </r>
  </si>
  <si>
    <r>
      <t xml:space="preserve">Organisationsstruktur kopplat till hemansvar
</t>
    </r>
    <r>
      <rPr>
        <i/>
        <sz val="11"/>
        <color theme="1"/>
        <rFont val="Calibri"/>
        <family val="2"/>
        <scheme val="minor"/>
      </rPr>
      <t>Org.struct by Home CC</t>
    </r>
  </si>
  <si>
    <r>
      <t xml:space="preserve">Organisationsstruktur kopplat till Ansvar för planerad uppgift
</t>
    </r>
    <r>
      <rPr>
        <i/>
        <sz val="11"/>
        <color theme="1"/>
        <rFont val="Calibri"/>
        <family val="2"/>
        <scheme val="minor"/>
      </rPr>
      <t>Org.struct by CC for planned tasks</t>
    </r>
  </si>
  <si>
    <r>
      <t xml:space="preserve">Kalkylerad datum tabell
</t>
    </r>
    <r>
      <rPr>
        <i/>
        <sz val="11"/>
        <color theme="1"/>
        <rFont val="Calibri"/>
        <family val="2"/>
        <scheme val="minor"/>
      </rPr>
      <t>Calc data table</t>
    </r>
  </si>
  <si>
    <r>
      <t xml:space="preserve">Medarbetarinformation 
</t>
    </r>
    <r>
      <rPr>
        <i/>
        <sz val="11"/>
        <color theme="1"/>
        <rFont val="Calibri"/>
        <family val="2"/>
        <scheme val="minor"/>
      </rPr>
      <t>Employe details from SF</t>
    </r>
  </si>
  <si>
    <r>
      <t xml:space="preserve">Kundinformation från IFS
</t>
    </r>
    <r>
      <rPr>
        <i/>
        <sz val="11"/>
        <color theme="1"/>
        <rFont val="Calibri"/>
        <family val="2"/>
        <scheme val="minor"/>
      </rPr>
      <t>Customer Details from IFS</t>
    </r>
  </si>
  <si>
    <r>
      <t xml:space="preserve">Informatiom om planerade skift/uppgifter på anst. &amp; Ansvar
</t>
    </r>
    <r>
      <rPr>
        <i/>
        <sz val="11"/>
        <color theme="1"/>
        <rFont val="Calibri"/>
        <family val="2"/>
        <scheme val="minor"/>
      </rPr>
      <t>Details for planned shift/Task by Emp.No and CC</t>
    </r>
  </si>
  <si>
    <r>
      <t xml:space="preserve">Tabell som kopplar ihop uppgifter med arbetsorder
</t>
    </r>
    <r>
      <rPr>
        <i/>
        <sz val="11"/>
        <color theme="1"/>
        <rFont val="Calibri"/>
        <family val="2"/>
        <scheme val="minor"/>
      </rPr>
      <t>Mapping table connecting planned tasks with WO</t>
    </r>
  </si>
  <si>
    <r>
      <t xml:space="preserve">uppgifter schemalagda på medarbetaren
</t>
    </r>
    <r>
      <rPr>
        <i/>
        <sz val="11"/>
        <color theme="1"/>
        <rFont val="Calibri"/>
        <family val="2"/>
        <scheme val="minor"/>
      </rPr>
      <t>Tasks scheduled by employee</t>
    </r>
  </si>
  <si>
    <r>
      <t>%över / under bemanning2 = ((</t>
    </r>
    <r>
      <rPr>
        <sz val="10"/>
        <color rgb="FF3165BB"/>
        <rFont val="Consolas"/>
        <family val="3"/>
      </rPr>
      <t>sum</t>
    </r>
    <r>
      <rPr>
        <sz val="10"/>
        <color rgb="FF000000"/>
        <rFont val="Consolas"/>
        <family val="3"/>
      </rPr>
      <t>(</t>
    </r>
    <r>
      <rPr>
        <sz val="10"/>
        <color rgb="FF001080"/>
        <rFont val="Consolas"/>
        <family val="3"/>
      </rPr>
      <t>'wfm_dm_v1 fEmployeeScheduleTask'[debiterbarTid]</t>
    </r>
    <r>
      <rPr>
        <sz val="10"/>
        <color rgb="FF000000"/>
        <rFont val="Consolas"/>
        <family val="3"/>
      </rPr>
      <t>))/</t>
    </r>
    <r>
      <rPr>
        <sz val="10"/>
        <color rgb="FF3165BB"/>
        <rFont val="Consolas"/>
        <family val="3"/>
      </rPr>
      <t>sum</t>
    </r>
    <r>
      <rPr>
        <sz val="10"/>
        <color rgb="FF000000"/>
        <rFont val="Consolas"/>
        <family val="3"/>
      </rPr>
      <t>(</t>
    </r>
    <r>
      <rPr>
        <sz val="10"/>
        <color rgb="FF001080"/>
        <rFont val="Consolas"/>
        <family val="3"/>
      </rPr>
      <t>'wfm_dm_v1 dCustomerWorkOrderDaily'[agreementHours]</t>
    </r>
    <r>
      <rPr>
        <sz val="10"/>
        <color rgb="FF000000"/>
        <rFont val="Consolas"/>
        <family val="3"/>
      </rPr>
      <t>))</t>
    </r>
  </si>
  <si>
    <r>
      <t>%över / underbemanning = ((</t>
    </r>
    <r>
      <rPr>
        <sz val="10"/>
        <color rgb="FF3165BB"/>
        <rFont val="Consolas"/>
        <family val="3"/>
      </rPr>
      <t>sum</t>
    </r>
    <r>
      <rPr>
        <sz val="10"/>
        <color rgb="FF000000"/>
        <rFont val="Consolas"/>
        <family val="3"/>
      </rPr>
      <t>(</t>
    </r>
    <r>
      <rPr>
        <sz val="10"/>
        <color rgb="FF001080"/>
        <rFont val="Consolas"/>
        <family val="3"/>
      </rPr>
      <t>'wfm_dm_v1 fEmployeeScheduleTask'[debiterbarTid]</t>
    </r>
    <r>
      <rPr>
        <sz val="10"/>
        <color rgb="FF000000"/>
        <rFont val="Consolas"/>
        <family val="3"/>
      </rPr>
      <t>)-</t>
    </r>
    <r>
      <rPr>
        <sz val="10"/>
        <color rgb="FF3165BB"/>
        <rFont val="Consolas"/>
        <family val="3"/>
      </rPr>
      <t>sum</t>
    </r>
    <r>
      <rPr>
        <sz val="10"/>
        <color rgb="FF000000"/>
        <rFont val="Consolas"/>
        <family val="3"/>
      </rPr>
      <t>(</t>
    </r>
    <r>
      <rPr>
        <sz val="10"/>
        <color rgb="FF001080"/>
        <rFont val="Consolas"/>
        <family val="3"/>
      </rPr>
      <t>'wfm_dm_v1 dCustomerWorkOrderDaily'[agreementHours]</t>
    </r>
    <r>
      <rPr>
        <sz val="10"/>
        <color rgb="FF000000"/>
        <rFont val="Consolas"/>
        <family val="3"/>
      </rPr>
      <t>))/</t>
    </r>
    <r>
      <rPr>
        <sz val="10"/>
        <color rgb="FF3165BB"/>
        <rFont val="Consolas"/>
        <family val="3"/>
      </rPr>
      <t>sum</t>
    </r>
    <r>
      <rPr>
        <sz val="10"/>
        <color rgb="FF000000"/>
        <rFont val="Consolas"/>
        <family val="3"/>
      </rPr>
      <t>(</t>
    </r>
    <r>
      <rPr>
        <sz val="10"/>
        <color rgb="FF001080"/>
        <rFont val="Consolas"/>
        <family val="3"/>
      </rPr>
      <t>'wfm_dm_v1 dCustomerWorkOrderDaily'[agreementHours]</t>
    </r>
    <r>
      <rPr>
        <sz val="10"/>
        <color rgb="FF000000"/>
        <rFont val="Consolas"/>
        <family val="3"/>
      </rPr>
      <t>))</t>
    </r>
  </si>
  <si>
    <t>Över-/underbemanning per månad</t>
  </si>
  <si>
    <t xml:space="preserve">costCenterNumber </t>
  </si>
  <si>
    <t>Budget i timmar, agreement hours</t>
  </si>
  <si>
    <t>taskPunchedDuration</t>
  </si>
  <si>
    <t>attestedDateTime</t>
  </si>
  <si>
    <t>causeforattendence</t>
  </si>
  <si>
    <t>CustomerNumber</t>
  </si>
  <si>
    <t>Kundnummer?</t>
  </si>
  <si>
    <t>Produktnummer?</t>
  </si>
  <si>
    <t>personAttendanceSallaryType</t>
  </si>
  <si>
    <t>Namn som behöver
Godkännas</t>
  </si>
  <si>
    <t xml:space="preserve">Business Data Vault  </t>
  </si>
  <si>
    <t>Data Mart / AS - Modell</t>
  </si>
  <si>
    <t>Report</t>
  </si>
  <si>
    <t>Business Data Vault Schema</t>
  </si>
  <si>
    <t>Business Data Vault Table Names</t>
  </si>
  <si>
    <t>Column name</t>
  </si>
  <si>
    <t>Data Mart Schema</t>
  </si>
  <si>
    <t xml:space="preserve">Fact or Dimension </t>
  </si>
  <si>
    <t>Data Mart Table Name</t>
  </si>
  <si>
    <t>Data Type</t>
  </si>
  <si>
    <t>Calculation / DAX Calculation</t>
  </si>
  <si>
    <t>Column Name (SE)</t>
  </si>
  <si>
    <t>isReviewed by Business</t>
  </si>
  <si>
    <t>need to be implemented</t>
  </si>
  <si>
    <t>wfm_bdv_v1</t>
  </si>
  <si>
    <t>BDV_Customers</t>
  </si>
  <si>
    <t>BDV_OrgUnit</t>
  </si>
  <si>
    <t>BDV_Person</t>
  </si>
  <si>
    <t>BDV_EmployeeSchedule</t>
  </si>
  <si>
    <t>BDV_EmployeeSchedule / BDV_EmployeeScheduleTask</t>
  </si>
  <si>
    <t>BDV_EmployeeScheduleTask</t>
  </si>
  <si>
    <t xml:space="preserve">BDV_CustomerWorkOrder / BDV_ServiceDelivery </t>
  </si>
  <si>
    <t>BDV_CustomerWorkOrder</t>
  </si>
  <si>
    <t xml:space="preserve">BDV_ServiceDelivery </t>
  </si>
  <si>
    <t>period_factor</t>
  </si>
  <si>
    <t>period_startDate</t>
  </si>
  <si>
    <t>period_hours</t>
  </si>
  <si>
    <t>period_endDate</t>
  </si>
  <si>
    <t>period_type</t>
  </si>
  <si>
    <t>CostCenterNumber</t>
  </si>
  <si>
    <t>BDV_Date</t>
  </si>
  <si>
    <t>Customer_SK</t>
  </si>
  <si>
    <t>SDA_Inserted</t>
  </si>
  <si>
    <t>Date of latest load</t>
  </si>
  <si>
    <t>date_SK</t>
  </si>
  <si>
    <t>orgUnit_SK</t>
  </si>
  <si>
    <t xml:space="preserve">concat([costCenterNumber],' ',[costCenterTitle]) </t>
  </si>
  <si>
    <t>CostCenterManager_BK</t>
  </si>
  <si>
    <t>cast([costCenter_number] as varchar(50))+ cast([manager_employmentNumber] as varchar(50))</t>
  </si>
  <si>
    <t>Persons_sk</t>
  </si>
  <si>
    <t>based on [wfm_bdv_v1].[BDV_EmploymentClassCategory] which is based on the mapping file teams</t>
  </si>
  <si>
    <t>validFromDate</t>
  </si>
  <si>
    <t>generated in BDV, track of change in CostCenter, employeeClass</t>
  </si>
  <si>
    <t>validToDate</t>
  </si>
  <si>
    <t>IsRowCurrent</t>
  </si>
  <si>
    <t>=1 shows the latest version of the Person, generated in BDV, track of change in CostCenter, employeeClass</t>
  </si>
  <si>
    <t>CustomerWorkOrder_SK</t>
  </si>
  <si>
    <t>serviceDelivery_SK</t>
  </si>
  <si>
    <t>EmployeeScheduleTask_SK</t>
  </si>
  <si>
    <t>calculated</t>
  </si>
  <si>
    <t>Uppdrag som saknar planering</t>
  </si>
  <si>
    <t>periodsStartDate</t>
  </si>
  <si>
    <t>Duplicated WorkOrders</t>
  </si>
  <si>
    <t>countOfCostCenterNumbers</t>
  </si>
  <si>
    <t>Incorrect Planning</t>
  </si>
  <si>
    <t>ServiceDeliveryName</t>
  </si>
  <si>
    <t>Planned before start of assignment</t>
  </si>
  <si>
    <t>planned in incorrect costCenter</t>
  </si>
  <si>
    <t>planned on not valid period of assignment</t>
  </si>
  <si>
    <t>planned on expired assignment</t>
  </si>
  <si>
    <t>Kundbehov</t>
  </si>
  <si>
    <t>Calculation based on period hours, by missstake called "Normtimmar" at first transl. (=Samhallstimmar= Normtimmar * Faktor</t>
  </si>
  <si>
    <t>Used in several places in the report for ServiceDeliveryname</t>
  </si>
  <si>
    <t>Exists in the data since before and named approved in the naming workshops</t>
  </si>
  <si>
    <t>Info: Headline</t>
  </si>
  <si>
    <t>Info: dropdown</t>
  </si>
  <si>
    <t>Planerings/debiteringsgrad</t>
  </si>
  <si>
    <t>Planeringsuppföljning</t>
  </si>
  <si>
    <t>Antal Ansvar på en Arbetsorder</t>
  </si>
  <si>
    <t xml:space="preserve">Ex. AO startar 1a mars men det finns timmar planerade innan startdatum </t>
  </si>
  <si>
    <t>Planerad på felaktigt Ansvar</t>
  </si>
  <si>
    <t>Vad syftas??? Är det ett periodiserat avtal där man inte ska leverera en tjänst under en period…</t>
  </si>
  <si>
    <t>Planeringsgrad</t>
  </si>
  <si>
    <t>Debiteringsgrad</t>
  </si>
  <si>
    <t>Planerad Debiteringsgrad</t>
  </si>
  <si>
    <t>Schemalagd tid</t>
  </si>
  <si>
    <t>Planerad tid på upgift</t>
  </si>
  <si>
    <t>Available capacity analyze per hour</t>
  </si>
  <si>
    <t>Header</t>
  </si>
  <si>
    <t>Available Capacity per task start hour</t>
  </si>
  <si>
    <t>barchart</t>
  </si>
  <si>
    <t>Available capacity per Uppgift</t>
  </si>
  <si>
    <t>Tabell</t>
  </si>
  <si>
    <t>Average of planerad tid i timmar</t>
  </si>
  <si>
    <t>Matris</t>
  </si>
  <si>
    <t>Total available capacity over weekday and task start hour</t>
  </si>
  <si>
    <t xml:space="preserve">Fråga Stina/Alexandra: Skall projektet bryta ut ÖT (Utöver ArbDag) från planerad PlanGrad. </t>
  </si>
  <si>
    <t>Fråga Stina/Alexandra: Skall vi exkludera ÖT från Planerad Debiteringsgrad?</t>
  </si>
  <si>
    <t>Planerad tid på Närvarokod (UTBUTV+OGPRK+ENLAVT+MERFSG+TILLGA+UTVPRK+OPUTAR+OPLARB + ARBRTR )</t>
  </si>
  <si>
    <t>Planerad Debiterbar tid = Planerad tid på närvarokod (ENLAVT+MERFSG)</t>
  </si>
  <si>
    <t>Schema publicerat till och med datum</t>
  </si>
  <si>
    <t>Planerings- &amp; Debiteringsgrad</t>
  </si>
  <si>
    <t>Average of Tillgänglg tid i timmar</t>
  </si>
  <si>
    <t>Genomsnittlig tillgänglig tid i timmar</t>
  </si>
  <si>
    <t>Veckodag</t>
  </si>
  <si>
    <t>ProductTitle</t>
  </si>
  <si>
    <t>Suggested SE Name</t>
  </si>
  <si>
    <t>(Kundbehov = Samhalltimmar = Normtimmar * Faktor)</t>
  </si>
  <si>
    <t>Arbetsorder tilldelad på flera Ansvar för samma period</t>
  </si>
  <si>
    <t>Note: User need to be informed of corner-case when we have 2 FLC in different districts, FLS, Planner, AC will not see the other district, only indicator is that it is count=2 Ansvar…</t>
  </si>
  <si>
    <t xml:space="preserve">CustomerPlanningDocs StartDate, SQISS </t>
  </si>
  <si>
    <t>VIKTIG! Bör informeras…</t>
  </si>
  <si>
    <t>Periodstartdatum för Kundbehov</t>
  </si>
  <si>
    <t>Felaktig Planering på Kundbehov</t>
  </si>
  <si>
    <t>Add info, this is "Ansvar med kundbehov"</t>
  </si>
  <si>
    <t>Ansvar planerat utan kundbehov</t>
  </si>
  <si>
    <t>Planerad mot ej påbörjad Kundbehovsperiod</t>
  </si>
  <si>
    <t>Planerad mot felaktigt Kundbehovsperiod</t>
  </si>
  <si>
    <t>Planerad mot avslutad Kundbehovsperiod</t>
  </si>
  <si>
    <t>Planerad tillgänglig kapacitet per klockslag</t>
  </si>
  <si>
    <t>Antal tillgängliga unika medarbetare</t>
  </si>
  <si>
    <t>Planerad tillgänglig kapacitet per Uppgift, Ansvar och Medarbetare</t>
  </si>
  <si>
    <t>Planerad tillgänglig kapacitet per veckodag och klockslag</t>
  </si>
  <si>
    <t>Arbetade timmar</t>
  </si>
  <si>
    <t>Ursprunglig instämplingstid</t>
  </si>
  <si>
    <t>Ursprunglig utstämplingstid</t>
  </si>
  <si>
    <t>Justerad instämplingstid</t>
  </si>
  <si>
    <t>justerad utstämplingstid</t>
  </si>
  <si>
    <t>Attesterad tidpunkt</t>
  </si>
  <si>
    <t>Arbetad timmar på uppgift</t>
  </si>
  <si>
    <t>Löneart</t>
  </si>
  <si>
    <t>Stämplingar</t>
  </si>
  <si>
    <t>Produktnr</t>
  </si>
  <si>
    <t>Produktbeskrivning</t>
  </si>
  <si>
    <t>arbetskund order</t>
  </si>
  <si>
    <t>schemalaga upgifter</t>
  </si>
  <si>
    <t>need to be changed in DB</t>
  </si>
  <si>
    <t>dax calculation in ASS model</t>
  </si>
  <si>
    <t>ansvar</t>
  </si>
  <si>
    <t>not needed yet</t>
  </si>
  <si>
    <t>DAx calc</t>
  </si>
  <si>
    <t>DAX calc</t>
  </si>
  <si>
    <t>calendar</t>
  </si>
  <si>
    <t>Tillgänglig kapacitetsanalys</t>
  </si>
  <si>
    <t>Antal Ansvar på en Arbetsorder:= DISTINCTCOUNT('arbetsorder kund'[costcenternumber])</t>
  </si>
  <si>
    <t>Planeringsobjekt som saknar planering</t>
  </si>
  <si>
    <t>customerWorkOrder_SK</t>
  </si>
  <si>
    <t>periodsHours</t>
  </si>
  <si>
    <t>serviceDeliveryName</t>
  </si>
  <si>
    <t>customerWorkOrderMonthlyNotWorked_SK</t>
  </si>
  <si>
    <t>År &amp; Månad</t>
  </si>
  <si>
    <t>Need to be confirmed with Stina</t>
  </si>
  <si>
    <t>customerWorkOrderMonthlyNotWorked__SK</t>
  </si>
  <si>
    <t>Do we need a SWE name for _SK?</t>
  </si>
  <si>
    <t>Planerad Övertid i timmar</t>
  </si>
  <si>
    <t>Planerad Debiteringsgrad Övertid</t>
  </si>
  <si>
    <t>Debiteringsgrad övertid</t>
  </si>
  <si>
    <t>schema</t>
  </si>
  <si>
    <t>overtid</t>
  </si>
  <si>
    <t>in report renamed</t>
  </si>
  <si>
    <t>övertid</t>
  </si>
  <si>
    <t>NOTE: Stina suggested to take it out of the report, since it is less business value giving, but more value giving for Quinyx processes (tech)</t>
  </si>
  <si>
    <t>Rename Done</t>
  </si>
  <si>
    <t xml:space="preserve">Created a Calculated field </t>
  </si>
  <si>
    <t>please dont rename, will be just renamed in the report</t>
  </si>
  <si>
    <t>Rename done</t>
  </si>
  <si>
    <t xml:space="preserve">max('Ansvar'[costCenterSchedulePublishedDate]) </t>
  </si>
  <si>
    <t>countOfServiceDerliveryName</t>
  </si>
  <si>
    <t>column=distinctcount('Planeringsobjekt som saknar planering'[ServiceDeliveryName])</t>
  </si>
  <si>
    <t>Antal planeringsobjekt som saknar planering</t>
  </si>
  <si>
    <t>Updated 2022-03-11</t>
  </si>
  <si>
    <t>Renaming Status</t>
  </si>
  <si>
    <t>DAX Calc</t>
  </si>
  <si>
    <t>column=distinctcount(Schemalagda Uppgifter'[ServiceDeliveryName])</t>
  </si>
  <si>
    <t>Antal planeringsobjekt</t>
  </si>
  <si>
    <t>I guess now serviceDeliveryName=Planeringsobjekt</t>
  </si>
  <si>
    <t>SQISS Column Name (EN)</t>
  </si>
  <si>
    <t>Uppdrag som saknar planering​ per månad</t>
  </si>
  <si>
    <t>Felaktig Planering på Kundbehov per månad</t>
  </si>
  <si>
    <t>header</t>
  </si>
  <si>
    <t>new/changes/named need to be add</t>
  </si>
  <si>
    <t>change done</t>
  </si>
  <si>
    <t>dataformat: percentage and replace DAX calc with if(sum(Schema[Planerad Övertid i timmar])=0,0, sum('Schemalagda uppgifter'[debiterbarOverTid])/sum(Schema[Planerad Övertid i timmar]))</t>
  </si>
  <si>
    <t>Felaktig planering mot Kundbehov per månad</t>
  </si>
  <si>
    <t>trendline</t>
  </si>
  <si>
    <t>count of planeringsobjekt</t>
  </si>
  <si>
    <t>not needed anymore (see line 93)</t>
  </si>
  <si>
    <t>Antal planeringsobjekt som är felaktigt planerade</t>
  </si>
  <si>
    <t>Schemalagdatimmar</t>
  </si>
  <si>
    <t>Beräkningsperiod i dagar</t>
  </si>
  <si>
    <t>Veckoarbetstid heltidsmått</t>
  </si>
  <si>
    <t>Rast 1 Slut</t>
  </si>
  <si>
    <t>Rast 2 Slut</t>
  </si>
  <si>
    <t>Rast 3 Slut</t>
  </si>
  <si>
    <t>Rast 4 Slut</t>
  </si>
  <si>
    <t>Frånvarodag</t>
  </si>
  <si>
    <t>SDA alias is in the report instead of display Name</t>
  </si>
  <si>
    <t>originalPunchInDateTime</t>
  </si>
  <si>
    <t>originalPunchOutDatetime</t>
  </si>
  <si>
    <t>adjustedPunchInDateTime</t>
  </si>
  <si>
    <t>adjustedPunchOutdateTime</t>
  </si>
  <si>
    <t>wfm_dm_v1</t>
  </si>
  <si>
    <t>fTimePunches</t>
  </si>
  <si>
    <t>=adjustedPunchOut-adjustedPunchIn</t>
  </si>
  <si>
    <t>min(sda load date) when isAttested=1</t>
  </si>
  <si>
    <t>BDV_TimePunches</t>
  </si>
  <si>
    <t>taskDuration</t>
  </si>
  <si>
    <t>dWorkCostCenter / dHomeCostCenter</t>
  </si>
  <si>
    <t>dCustomerWorkOrderDaily</t>
  </si>
  <si>
    <t>fEmployeeScheduletask</t>
  </si>
  <si>
    <t>same english name in employeeScheduleTask (see Report field naming) but different swedish names</t>
  </si>
  <si>
    <t>.</t>
  </si>
  <si>
    <t>Används för</t>
  </si>
  <si>
    <t>Table Name (SE)</t>
  </si>
  <si>
    <t>DM Column Name (EN)</t>
  </si>
  <si>
    <t>AS Column Name (EN)</t>
  </si>
  <si>
    <t>Bold and Green = Transferred to DataInfoCat MK</t>
  </si>
  <si>
    <t>AS Column Name (SE)</t>
  </si>
  <si>
    <t>Arbetade timmar på uppgift</t>
  </si>
  <si>
    <t>AS Table Name</t>
  </si>
  <si>
    <t>Tabellnamn: TimePunches Table in report to be named in Swedish</t>
  </si>
  <si>
    <t>nA</t>
  </si>
  <si>
    <t>Transferred to DataInfoCat MK</t>
  </si>
  <si>
    <t>Kund</t>
  </si>
  <si>
    <t>Ansvar / Hemansvar</t>
  </si>
  <si>
    <t xml:space="preserve">Ansvar   </t>
  </si>
  <si>
    <t>Uppgifter på arbetsorder</t>
  </si>
  <si>
    <t xml:space="preserve">dServiceDelivery </t>
  </si>
  <si>
    <t>Arbetsorder kund / Uppgifter på arbetsorder</t>
  </si>
  <si>
    <t xml:space="preserve">dCustomerWorkOrderDaily /dServiceDelivery </t>
  </si>
  <si>
    <t>schemalagda uppgifter</t>
  </si>
  <si>
    <t>Schemalaga uppgifter</t>
  </si>
  <si>
    <t>Planerade debiterbara timmar / Kundbehov</t>
  </si>
  <si>
    <t>:= DISTINCTCOUNT('Medarbetare'[Anställningsnummer])</t>
  </si>
  <si>
    <t>P&amp;T</t>
  </si>
  <si>
    <t>Source</t>
  </si>
  <si>
    <t>Destination</t>
  </si>
  <si>
    <t>AS Table Name (SE)</t>
  </si>
  <si>
    <t>debiterbarovertid</t>
  </si>
  <si>
    <t>isScheduled=1</t>
  </si>
  <si>
    <t>isScheduled=0</t>
  </si>
  <si>
    <t>Ansvar/Hemansvar</t>
  </si>
  <si>
    <t>fAvailableCapacity / fAvailableCapacityHoury</t>
  </si>
  <si>
    <t>tastStarthour</t>
  </si>
  <si>
    <t>with org table to costCenterNumber</t>
  </si>
  <si>
    <t>fAvailableCapacity</t>
  </si>
  <si>
    <t xml:space="preserve">fAvailableCapacity </t>
  </si>
  <si>
    <t>fTillgängligKapacitet</t>
  </si>
  <si>
    <t>fTillgängligKapacitet / fTillgängligKapacitetTimmar</t>
  </si>
  <si>
    <t>where causeForAttendance = TILLG</t>
  </si>
  <si>
    <t>WFM-Model &amp; Kundbehovsstyrd planering</t>
  </si>
  <si>
    <t>summarized on employeeScheduleID and ServiceDeliveryTaskId</t>
  </si>
  <si>
    <t>Sysselsätningsgrad</t>
  </si>
  <si>
    <t>developmentduration</t>
  </si>
  <si>
    <t>where CauseForAttendence =  UTVPRK,UTBUTV,OGPRK</t>
  </si>
  <si>
    <t>Schema publiceringsdatum</t>
  </si>
  <si>
    <t>CustomerWorkOrderdaily_SK</t>
  </si>
  <si>
    <t>CustomerWorkOrderMonthkyNotWorked_SK</t>
  </si>
  <si>
    <t>År</t>
  </si>
  <si>
    <t>Kvartal</t>
  </si>
  <si>
    <t>Månad</t>
  </si>
  <si>
    <t>År &amp; kvartal</t>
  </si>
  <si>
    <t>Dag</t>
  </si>
  <si>
    <t>År &amp; Månad (asc)</t>
  </si>
  <si>
    <t>IsDebiterbar</t>
  </si>
  <si>
    <t>IsPlannerad</t>
  </si>
  <si>
    <t>IsTillgänglig</t>
  </si>
  <si>
    <t>IsUtveckling</t>
  </si>
  <si>
    <t>CustomerWorkOrderMonthlyNotWorked_SK]</t>
  </si>
  <si>
    <t>EmploymentClassCode_Quinyx</t>
  </si>
  <si>
    <t>Personalkategorigrupp_quinyx</t>
  </si>
  <si>
    <t>workCostCenterCodeName</t>
  </si>
  <si>
    <t>workCostCenterNumber</t>
  </si>
  <si>
    <t>workingDayDuration</t>
  </si>
  <si>
    <t>isSysselsättningsgrad</t>
  </si>
  <si>
    <t>isTransferedToPayroll</t>
  </si>
  <si>
    <t>timePunchesAggregated_SK</t>
  </si>
  <si>
    <t>CustomerWorkOrderDaily_SK</t>
  </si>
  <si>
    <t>employmnetClassCode</t>
  </si>
  <si>
    <t>Inlånad medarbetare</t>
  </si>
  <si>
    <t>Planerad tid på uppgift</t>
  </si>
  <si>
    <t>taskBreakDuration</t>
  </si>
  <si>
    <t>taskEndDateTime</t>
  </si>
  <si>
    <t>taskStartDateTime</t>
  </si>
  <si>
    <t>taskStartHour</t>
  </si>
  <si>
    <t>Tid på ej utvecklande aktiviteter</t>
  </si>
  <si>
    <t>Starttid Rast 1</t>
  </si>
  <si>
    <t>Starttid Rast 2</t>
  </si>
  <si>
    <t>Starttid Rast 3</t>
  </si>
  <si>
    <t>Starttid Rast 4</t>
  </si>
  <si>
    <t>isPlanable</t>
  </si>
  <si>
    <t>DayNameSorted</t>
  </si>
  <si>
    <t>IsSchedule</t>
  </si>
  <si>
    <t>Arbetad tid</t>
  </si>
  <si>
    <t>Stämplad tid</t>
  </si>
  <si>
    <t>kan vara bra att ha en med bara ansvarsnummer</t>
  </si>
  <si>
    <t>Affärsenhet (id)</t>
  </si>
  <si>
    <t>yes</t>
  </si>
  <si>
    <t>Ansvarets giltighetstid</t>
  </si>
  <si>
    <t>Ort_IFS</t>
  </si>
  <si>
    <t>Ort från IFS - geografistruktur</t>
  </si>
  <si>
    <t>Ansvarsbenämning</t>
  </si>
  <si>
    <t>Län (id)</t>
  </si>
  <si>
    <t>shows updates in costcenter</t>
  </si>
  <si>
    <t>MO (id)</t>
  </si>
  <si>
    <t xml:space="preserve">Ort (id) </t>
  </si>
  <si>
    <t>Avtalsid</t>
  </si>
  <si>
    <t>connector</t>
  </si>
  <si>
    <t>connector to datum</t>
  </si>
  <si>
    <t>Antal ansvar på en arbetsorder</t>
  </si>
  <si>
    <t xml:space="preserve">period_factor*period_hours breaked down into daily value/needs in hours  (faktor x normtimmar) </t>
  </si>
  <si>
    <t>sortYearMonth</t>
  </si>
  <si>
    <t>sortYearWeek</t>
  </si>
  <si>
    <t>Veckonummer</t>
  </si>
  <si>
    <t>Om blank är det ingen storkund</t>
  </si>
  <si>
    <t>Personalkategori (SF)</t>
  </si>
  <si>
    <t>Personalkategorinamn (SF)</t>
  </si>
  <si>
    <t>Använd tabellen närvarokod</t>
  </si>
  <si>
    <t>Närmaste chef anstnr.</t>
  </si>
  <si>
    <t>Personalkategori som var aktuell vid schemaläggnings- och stämplingstillfället. Om kategorin skiljer sig blir det stämplingstillfället.</t>
  </si>
  <si>
    <t xml:space="preserve">Sluttid rast 1 </t>
  </si>
  <si>
    <t>Sluttid rast 2</t>
  </si>
  <si>
    <t>Sluttid rast 3</t>
  </si>
  <si>
    <t>Sluttid rast 4</t>
  </si>
  <si>
    <t>serviceDeliveryTasksId</t>
  </si>
  <si>
    <t>Arbetsdag och sluttid</t>
  </si>
  <si>
    <t>Arbetsdag och starttid</t>
  </si>
  <si>
    <t>Planerad tid med raster inkluderade</t>
  </si>
  <si>
    <t>Är schema_PBI</t>
  </si>
  <si>
    <t>FelaktigPlanering_PBI</t>
  </si>
  <si>
    <t>Rasttid på uppgift i timmar</t>
  </si>
  <si>
    <t>Samma som skifttyp</t>
  </si>
  <si>
    <t>Stämplingen är borttagen</t>
  </si>
  <si>
    <t>Justerad utstämplingstid</t>
  </si>
  <si>
    <t>Periodslutdatum för Kundbehov</t>
  </si>
  <si>
    <t>Anställd from</t>
  </si>
  <si>
    <t>Anställd tom</t>
  </si>
  <si>
    <t xml:space="preserve">Distrikt (id) </t>
  </si>
  <si>
    <t xml:space="preserve">Giltig från </t>
  </si>
  <si>
    <t>Har personalsnsvar</t>
  </si>
  <si>
    <t>dayOfWeek</t>
  </si>
  <si>
    <t>dayOfYear</t>
  </si>
  <si>
    <t>Kundbehov per månad</t>
  </si>
  <si>
    <t>Kundbehov_value</t>
  </si>
  <si>
    <t>Normtimmar_value</t>
  </si>
  <si>
    <t>Normtimmar per månad</t>
  </si>
  <si>
    <t>Planerad tid i timmar_value</t>
  </si>
  <si>
    <t>Planerad tid i timmar per månad</t>
  </si>
  <si>
    <t xml:space="preserve">Planeringsobjekt som saknar planering </t>
  </si>
  <si>
    <t>Schemalagd tid_value</t>
  </si>
  <si>
    <t>EmployeScheduelID</t>
  </si>
  <si>
    <t>Ordinarie schema</t>
  </si>
  <si>
    <t>Teknisk term för PBI rapport</t>
  </si>
  <si>
    <t>Är stämpling _PBI</t>
  </si>
  <si>
    <t>Planerad debiterbar tid</t>
  </si>
  <si>
    <t>Utvecklingstid</t>
  </si>
  <si>
    <t>Debiterbar övertid</t>
  </si>
  <si>
    <t xml:space="preserve">ej sysselsatt </t>
  </si>
  <si>
    <t>Attesterade arbetade timmar på uppgift</t>
  </si>
  <si>
    <t>Oattesterade arbetade timmar på uppgift</t>
  </si>
  <si>
    <t>Indikerar att personen har stämplat in men inte stämplat ut.</t>
  </si>
  <si>
    <t xml:space="preserve">Finns ngt att komplettera med? </t>
  </si>
  <si>
    <t xml:space="preserve">dim </t>
  </si>
  <si>
    <t xml:space="preserve">reported hours for:  
Närvarokod=TILLG, customernumber=INTERN and productnumber=990                                                                                                     </t>
  </si>
  <si>
    <t>sum of isAttested = 1</t>
  </si>
  <si>
    <t>Workaround, supporting field created in SDA</t>
  </si>
  <si>
    <t>Similar as "År och Månad" needed for reports</t>
  </si>
  <si>
    <t>no</t>
  </si>
  <si>
    <t>Visble in WFM-model</t>
  </si>
  <si>
    <t>Attribut, ej mått. Faktor  för att räkna om till Samhalltimmar.</t>
  </si>
  <si>
    <t>Date  YYYY-MM-DD</t>
  </si>
  <si>
    <t>(Närvarokod – Ej sysselsatt) / Närvarokod</t>
  </si>
  <si>
    <t>Samma som "Ej sysselsatt"</t>
  </si>
  <si>
    <t>Renamed from employeeClass
Personalkategori (SF)</t>
  </si>
  <si>
    <t>On task evel</t>
  </si>
  <si>
    <t>Planerad tid på närvarokod TILLG</t>
  </si>
  <si>
    <t>Sammanlagd tid som är rast per uppgift</t>
  </si>
  <si>
    <t>Datumdifferens schema publicerat till datum</t>
  </si>
  <si>
    <t>Visar hur många dagar framåt det finns publicerade scheman, beräknas från dagen datum</t>
  </si>
  <si>
    <t>Tillgänglighetsanalys (Subset of WFM-Model)</t>
  </si>
  <si>
    <t>Normtimmar är de timmar som kunden har behov av och som Samhall skall leverera på. Om normtimmar = 0, kund och arbetsorder är aktiv, men inget kundbehov ex. vinter/sommar..</t>
  </si>
  <si>
    <t xml:space="preserve">Personalkategori som var aktuell vid schemaläggnings- och stämplingstillfället. Om värdet skiljer sig mellan tillfällena används stämplingstillfället. </t>
  </si>
  <si>
    <t>Datum då anställning började. För personer anställda innan 2016-11-09 saknas det korrekta startdatumet. SDA får datumet 2016-11-09 på dessa från Sucessfactor. Personer som anställts efter 2016-11-09 har korrekt startdatum.</t>
  </si>
  <si>
    <t>Technical calculation for usage in report</t>
  </si>
  <si>
    <t>This field is fetched from mapping table.</t>
  </si>
  <si>
    <t>dCustomerWorkOrderMonthlyNotWorked</t>
  </si>
  <si>
    <t>distinctcount('Planeringsobjekt som saknar planering'[Planeringsobjekt])</t>
  </si>
  <si>
    <t>sum('Planeringsobjekt som saknar planering'[Normtimmar_value])</t>
  </si>
  <si>
    <t>sum('Planeringsobjekt som saknar planering'[Planerad tid i timmar _value])</t>
  </si>
  <si>
    <t>sum('Planeringsobjekt som saknar planering'[Kundbehov_value])</t>
  </si>
  <si>
    <t>double</t>
  </si>
  <si>
    <t>int64</t>
  </si>
  <si>
    <t>Ansvar_PBI, Ansvar_PBI1, Ansvar _PBI2</t>
  </si>
  <si>
    <t>Datum, Datum _PBI</t>
  </si>
  <si>
    <t>Version</t>
  </si>
  <si>
    <t>1.1</t>
  </si>
  <si>
    <t>Datakatalog är uppdaterad att stämma mot översatt oc uppstädad WFM-model</t>
  </si>
  <si>
    <t>Vyn är framtagen för enskild rapportsida.</t>
  </si>
  <si>
    <t>Ansvar där uppdrag utförs, dubblett av Ansvar för bruk i vissa rapporter där det är nödvändigt med dubblerade fält.</t>
  </si>
  <si>
    <t xml:space="preserve">Ort i planeringsrapporterna. I IFS heter detta kommun. </t>
  </si>
  <si>
    <t>Har personalansvar i SF</t>
  </si>
  <si>
    <t>Behovet eller faktorn har ändrats så man startar upp en ny period.
Date YYYY-MM-DD</t>
  </si>
  <si>
    <t xml:space="preserve">Datum_PBI is for certain PBI-visuals requiring specifik format, same conetn as datum. </t>
  </si>
  <si>
    <t>Ansvar är ansvaret där uppdraget planeras, Hemansvar ansvar du hör till som anställd.</t>
  </si>
  <si>
    <t>Visar om det är schemalagd-övertid, 0 om det är övertid om 1 är det ordinarie schema</t>
  </si>
  <si>
    <r>
      <t xml:space="preserve">Se definitionsdokument. Notera att Arbetad tid är ett mått som tagits fram för att beräkna Sysselsättningsgrad. 
Definitionen på Arbetad tid  = Stämplad tid på Närvarkoderna (UTBUTV+OGPRK+ENLAVT+MERFSG+TILLGA+UTVPRK+OPUTAR+OPLARB+ARBRTR+BERED ) på personalkategorierna KU, KU75, LFU (från IFS/Quinyx) som motsvaras av kategorierna  k11, k23, k26, k27,t11, t13, t23, t26, p01 i SF.
Personalkategorikod som används vid beräkning hämtas från </t>
    </r>
    <r>
      <rPr>
        <b/>
        <sz val="10"/>
        <color theme="1"/>
        <rFont val="Calibri"/>
        <family val="2"/>
        <scheme val="minor"/>
      </rPr>
      <t>Schema.PersonalKategorikod_quinyx</t>
    </r>
    <r>
      <rPr>
        <sz val="10"/>
        <color theme="1"/>
        <rFont val="Calibri"/>
        <family val="2"/>
        <scheme val="minor"/>
      </rPr>
      <t>. Det är den personalkategorikod som var aktuell vid schemaläggnings eller stämplingstillfället.</t>
    </r>
  </si>
  <si>
    <t>Current Personalkategorigrupp, from mapping table</t>
  </si>
  <si>
    <t>employmentClassCategory_quinyx</t>
  </si>
  <si>
    <t>planning</t>
  </si>
  <si>
    <t>Senast uppdaterad_PBI</t>
  </si>
  <si>
    <t>IF(RELATED(Ansvar[Ansvar])=RELATED(Hemansvar[Hemansvar]),1,0)</t>
  </si>
  <si>
    <t>isSchedule</t>
  </si>
  <si>
    <t>Är Stämpling_PBI</t>
  </si>
  <si>
    <t>isTimePunch</t>
  </si>
  <si>
    <t>Rasttid på uppgift i timmar _value</t>
  </si>
  <si>
    <t>TaskBreakDuration</t>
  </si>
  <si>
    <t>Planerade debiterbara timmar _value</t>
  </si>
  <si>
    <t>DebiterbarOverTid_value</t>
  </si>
  <si>
    <t>debiterbarOverTid</t>
  </si>
  <si>
    <t>Tillgänglig tid i timmar _value</t>
  </si>
  <si>
    <t>Planerad tid på uppgift _value</t>
  </si>
  <si>
    <t>Utveckligstid _value</t>
  </si>
  <si>
    <t>planeradTid</t>
  </si>
  <si>
    <t>developmentDuration</t>
  </si>
  <si>
    <t>:= sum('Schemalagda uppgifter'[Planerade debiterbara timmar _value])/sum('Schema'[Schemalagd tid _Value])</t>
  </si>
  <si>
    <t>:=((sum('Schemalagda uppgifter'[Planerade debiterbara timmar _value])-sum('Arbetsorder kund'[periodhours-daily]))/sum('Arbetsorder kund'[periodhours-daily]))</t>
  </si>
  <si>
    <t>:=sum('Schemalagda uppgifter'[Planerade debiterbara timmar _value])-sum('Arbetsorder kund'[periodhours-daily])</t>
  </si>
  <si>
    <t>Över- eller underbemanningsgrad</t>
  </si>
  <si>
    <t>:= round(sum('Schemalagda uppgifter'[Planerad tid på uppgift _value]),2)/round(Sum('Schema'[Schemalagd tid _Value]),2)</t>
  </si>
  <si>
    <t>:=((sum('Schemalagda uppgifter'[Planerade debiterbara timmar _value]))/sum('Arbetsorder kund'[periodhours-daily]))</t>
  </si>
  <si>
    <t>:= iferror(sum('Schemalagda uppgifter'[DebiterbarOverTid_value])/sum(Schema[Planerad Övertid i timmar _Value]),0)</t>
  </si>
  <si>
    <t>Utvecklingstid / Schemalagd tid</t>
  </si>
  <si>
    <t>:=iferror( sum('Schemalagda uppgifter'[Utveckligstid _value])/sum(Schema[Schemalagd tid _Value]), 0)</t>
  </si>
  <si>
    <t>:=sum('Schemalagda uppgifter'[Utveckligstid _value])</t>
  </si>
  <si>
    <t>:=sum('Schemalagda uppgifter'[Tillgänglig tid i timmar _value])</t>
  </si>
  <si>
    <t>:=sum('Schemalagda uppgifter'[Rasttid på uppgift i timmar _value])</t>
  </si>
  <si>
    <t>:=Sum('Schemalagda uppgifter'[Planerade debiterbara timmar _value])</t>
  </si>
  <si>
    <t>:=sum('Schemalagda uppgifter'[Planerad tid på uppgift _value])</t>
  </si>
  <si>
    <t>:=sum('Schemalagda uppgifter'[Planerad tid i timmar_value])</t>
  </si>
  <si>
    <t>:=sum('Schemalagda uppgifter'[DebiterbarOverTid_value])</t>
  </si>
  <si>
    <t>Schemalagd tid _Value</t>
  </si>
  <si>
    <t>schemalagdTid</t>
  </si>
  <si>
    <t>Planerad Övertid i timmar _Value</t>
  </si>
  <si>
    <t>overTid</t>
  </si>
  <si>
    <t>:=sum(Schema[Schemalagd tid _Value])</t>
  </si>
  <si>
    <t>Planerad övertid i timmar</t>
  </si>
  <si>
    <t>:=sum(Schema[Planerad Övertid i timmar _Value])</t>
  </si>
  <si>
    <t>breakDuration</t>
  </si>
  <si>
    <t>employmentClassCode_quinyx</t>
  </si>
  <si>
    <t>wfm_dm_v0</t>
  </si>
  <si>
    <t>fleet_dm_v1</t>
  </si>
  <si>
    <t>SchemaPubliceratTillOchMedDatum</t>
  </si>
  <si>
    <t>DATE</t>
  </si>
  <si>
    <t>sortDatum</t>
  </si>
  <si>
    <t>År &amp; Vecka</t>
  </si>
  <si>
    <t>År &amp; Kvartal</t>
  </si>
  <si>
    <t>fTripReports</t>
  </si>
  <si>
    <t>Körjournal</t>
  </si>
  <si>
    <t>Registreringsnummer</t>
  </si>
  <si>
    <t>Arbetande timmar</t>
  </si>
  <si>
    <t>Fordon</t>
  </si>
  <si>
    <t>Körlängd per dag</t>
  </si>
  <si>
    <t>Körtsträcka per dag</t>
  </si>
  <si>
    <t>Parkerad (min)</t>
  </si>
  <si>
    <t>Bränsleförbrukning (l)</t>
  </si>
  <si>
    <t>Kolidioxidustläpp</t>
  </si>
  <si>
    <t>Tomgångstid i sek</t>
  </si>
  <si>
    <t>Antal resor</t>
  </si>
  <si>
    <t>Aktiv dag</t>
  </si>
  <si>
    <t>LicensePlate</t>
  </si>
  <si>
    <t>DailyWorkingHours</t>
  </si>
  <si>
    <t>VehicleName</t>
  </si>
  <si>
    <t>DistanceTime</t>
  </si>
  <si>
    <t>Distance</t>
  </si>
  <si>
    <t>ParkedForMinUntilNextTrip</t>
  </si>
  <si>
    <t>FuelConsumption</t>
  </si>
  <si>
    <t>Co2Emissions</t>
  </si>
  <si>
    <t>IdleTime</t>
  </si>
  <si>
    <t>Trips</t>
  </si>
  <si>
    <t>ActiveDay</t>
  </si>
  <si>
    <t>Dagar mer än 100 km</t>
  </si>
  <si>
    <t>if('Körjournal'[Körtsträcka per dag]&gt;=100, 1,0)</t>
  </si>
  <si>
    <t>Dagar mer än 150 km</t>
  </si>
  <si>
    <t>if('Körjournal'[Körtsträcka per dag]&gt;=150, 1,0)</t>
  </si>
  <si>
    <t>Dagar mer än 70 km</t>
  </si>
  <si>
    <t>if('Körjournal'[Körtsträcka per dag]&gt;=70, 1,0)</t>
  </si>
  <si>
    <t>Dagar mindre än 70 km</t>
  </si>
  <si>
    <t>if('Körjournal'[Körtsträcka per dag]&lt;70, 1,0)</t>
  </si>
  <si>
    <t>Inaktiv dag</t>
  </si>
  <si>
    <t>if('Körjournal'[Aktiv dag]=1, 0, 1)</t>
  </si>
  <si>
    <t>Tomgångstid i min</t>
  </si>
  <si>
    <t>Körjournal'[Tomgångstid i sek]/60</t>
  </si>
  <si>
    <t>Nyttjandegrad 8 timmar</t>
  </si>
  <si>
    <t>iferror(sum('Körjournal'[Körlängd per dag])/((sum('Körjournal'[Aktiv dag])*8*60)),0)</t>
  </si>
  <si>
    <t>Utilization Rate</t>
  </si>
  <si>
    <t>iferror(sum('Körjournal'[Körlängd per dag])/sum('Körjournal'[Arbetande timmar]),0)</t>
  </si>
  <si>
    <t>Snitt antal resor</t>
  </si>
  <si>
    <t>CALCULATE(average('Körjournal'[Antal resor]),filter('Körjournal','Körjournal'[Aktiv dag]=1))</t>
  </si>
  <si>
    <t>Snitt Körlängd per dag (min)</t>
  </si>
  <si>
    <t>Snitt körtsträcka per dag (km)</t>
  </si>
  <si>
    <t>CALCULATE(average('Körjournal'[Körtsträcka per dag]),filter('Körjournal','Körjournal'[Aktiv dag]=1))</t>
  </si>
  <si>
    <t>CALCULATE(average('Körjournal'[Körlängd per dag]),filter('Körjournal','Körjournal'[Aktiv dag]=1))</t>
  </si>
  <si>
    <t>Snitt tomgångstid i min per dag</t>
  </si>
  <si>
    <t>CALCULATE(average('Körjournal'[Tomgångstid i sek])/60,filter('Körjournal','Körjournal'[Aktiv dag]=1))</t>
  </si>
  <si>
    <t>dVehicles</t>
  </si>
  <si>
    <t>Anskaffningsorsak</t>
  </si>
  <si>
    <t>Adress</t>
  </si>
  <si>
    <t>Bilmärke</t>
  </si>
  <si>
    <t>Frikod</t>
  </si>
  <si>
    <t>Fritext</t>
  </si>
  <si>
    <t>Bilmodell</t>
  </si>
  <si>
    <t>Postadress</t>
  </si>
  <si>
    <t>Produkt</t>
  </si>
  <si>
    <t>Drivmedel</t>
  </si>
  <si>
    <t>UNR</t>
  </si>
  <si>
    <t>UNR-beskrivning</t>
  </si>
  <si>
    <t>Årsmodell</t>
  </si>
  <si>
    <t>objectId</t>
  </si>
  <si>
    <t>acquisitionReason</t>
  </si>
  <si>
    <t>address2</t>
  </si>
  <si>
    <t>brand</t>
  </si>
  <si>
    <t>free</t>
  </si>
  <si>
    <t>freeDescription</t>
  </si>
  <si>
    <t>model</t>
  </si>
  <si>
    <t>postalAddress</t>
  </si>
  <si>
    <t>product</t>
  </si>
  <si>
    <t>productDescription</t>
  </si>
  <si>
    <t>propellant</t>
  </si>
  <si>
    <t>unr</t>
  </si>
  <si>
    <t>unrDescription</t>
  </si>
  <si>
    <t>validFrom</t>
  </si>
  <si>
    <t>validTo</t>
  </si>
  <si>
    <t>yearModel</t>
  </si>
  <si>
    <t>Fordonsanalys (Fleet)</t>
  </si>
  <si>
    <t>Automile</t>
  </si>
  <si>
    <t>/v1/resourceowner/reports/trips-report</t>
  </si>
  <si>
    <t>SDA</t>
  </si>
  <si>
    <t>LicensePLate</t>
  </si>
  <si>
    <t>kolla med isa</t>
  </si>
  <si>
    <t xml:space="preserve">FuelConsumption </t>
  </si>
  <si>
    <t>startDate?</t>
  </si>
  <si>
    <t>Vehicles</t>
  </si>
  <si>
    <t>SFMS</t>
  </si>
  <si>
    <t xml:space="preserve">Antal attester på felaktig närvarokod </t>
  </si>
  <si>
    <t>Antal attester på felaktig närvarokod = VAR A = CALCULATE(SUM('Stämplingar'[Antal attesterade]), 'Stämplingar'[flag_felaktig_attest] = 1) VAR B = IF((A) = 0, BLANK(), A) RETURN B</t>
  </si>
  <si>
    <t>Antal dagar i snitt mellan attest och arbetsdag</t>
  </si>
  <si>
    <t>AVERAGE('Stämplingar'[Antal dagar mellan senaste attest och arbetsdag])</t>
  </si>
  <si>
    <t>Attesteringsgrad</t>
  </si>
  <si>
    <t>('Stämplingar'[Attesterade arbetade timmar på uppgift] / 'Stämplingar'[Stämplad tid])</t>
  </si>
  <si>
    <t>Stämplingar kvar att attestera</t>
  </si>
  <si>
    <t>Stämplingsgrad</t>
  </si>
  <si>
    <t>SUM('Stämplingar'[Antal stämplingar]) - SUM('Stämplingar'[Antal attesterade])</t>
  </si>
  <si>
    <t>'Stämplingar'[Stämplad tid] / SUM('Schemalagda uppgifter'[Planerad tid i timmar_value])</t>
  </si>
  <si>
    <t>Anställningsnummer_PBI</t>
  </si>
  <si>
    <t>duplicering av "Anställningsnummer"</t>
  </si>
  <si>
    <t>Standard Data​ - 3NF​</t>
  </si>
  <si>
    <t>Dimensional Model</t>
  </si>
  <si>
    <t xml:space="preserve">Collection Name </t>
  </si>
  <si>
    <t>Atribute names (EN)</t>
  </si>
  <si>
    <t xml:space="preserve">Data type
</t>
  </si>
  <si>
    <t>System Data</t>
  </si>
  <si>
    <t>fullName</t>
  </si>
  <si>
    <t>The full name of the eomplyee</t>
  </si>
  <si>
    <t>personalNumber</t>
  </si>
  <si>
    <t>employeeID</t>
  </si>
  <si>
    <t>costCenterID</t>
  </si>
  <si>
    <t>isManager</t>
  </si>
  <si>
    <t>birthDate</t>
  </si>
  <si>
    <t>EmplyeeContract</t>
  </si>
  <si>
    <t>contractID</t>
  </si>
  <si>
    <t>The unique ID of the employee contract</t>
  </si>
  <si>
    <t>phoneNumber</t>
  </si>
  <si>
    <t>workingPercentage</t>
  </si>
  <si>
    <t>baseSchedule</t>
  </si>
  <si>
    <t xml:space="preserve">up to 100% </t>
  </si>
  <si>
    <t>&lt;list of 7 percentages starting from Mon&gt;</t>
  </si>
  <si>
    <t>Employees</t>
  </si>
  <si>
    <t>BusinessUnits</t>
  </si>
  <si>
    <t>CostCenterTypes</t>
  </si>
  <si>
    <t>Districts</t>
  </si>
  <si>
    <t>Municipalities</t>
  </si>
  <si>
    <t>municipalityID</t>
  </si>
  <si>
    <t>districtID</t>
  </si>
  <si>
    <t>costCenterTypeID</t>
  </si>
  <si>
    <t>Countries</t>
  </si>
  <si>
    <t>countyID</t>
  </si>
  <si>
    <t>marketAreaID</t>
  </si>
  <si>
    <t>MarketAreas</t>
  </si>
  <si>
    <t>Cities</t>
  </si>
  <si>
    <t>isActive</t>
  </si>
  <si>
    <t>hasPersonnel</t>
  </si>
  <si>
    <t>employeeContractID</t>
  </si>
  <si>
    <t>totalWeeklyHours</t>
  </si>
  <si>
    <t>EmployeeLeave</t>
  </si>
  <si>
    <t>isLeave</t>
  </si>
  <si>
    <t>LeaveReasons</t>
  </si>
  <si>
    <t>scheduleStartDateTime</t>
  </si>
  <si>
    <t>serviceDeliveryID</t>
  </si>
  <si>
    <t>ServiceDeliveries</t>
  </si>
  <si>
    <t>scheduleEndDate</t>
  </si>
  <si>
    <t>scheduleStartDate</t>
  </si>
  <si>
    <t>scheduleEndDateTIme</t>
  </si>
  <si>
    <t>employeeScheduleID</t>
  </si>
  <si>
    <t>shiftID</t>
  </si>
  <si>
    <t>shiftId</t>
  </si>
  <si>
    <t>shiftStartTime</t>
  </si>
  <si>
    <t>shiftEndTime</t>
  </si>
  <si>
    <t>employmentContractID</t>
  </si>
  <si>
    <t>EmployeeContract</t>
  </si>
  <si>
    <t>scheduleTypeID</t>
  </si>
  <si>
    <t>timepunchID</t>
  </si>
  <si>
    <t>timePunchID</t>
  </si>
  <si>
    <t>employeeContracID</t>
  </si>
  <si>
    <t>timeReportID</t>
  </si>
  <si>
    <t>CustomerContracts</t>
  </si>
  <si>
    <t>customerContractID</t>
  </si>
  <si>
    <t>customerID</t>
  </si>
  <si>
    <t>productID</t>
  </si>
  <si>
    <t>contractStartDate</t>
  </si>
  <si>
    <t>contractEndDate</t>
  </si>
  <si>
    <t>contractManHoursFactor</t>
  </si>
  <si>
    <t>contractPeriodBaselineTimeWindow</t>
  </si>
  <si>
    <t>workOrderStartDate</t>
  </si>
  <si>
    <t>Shifts</t>
  </si>
  <si>
    <t>contractHours</t>
  </si>
  <si>
    <t>only use city</t>
  </si>
  <si>
    <t>Entity Name</t>
  </si>
  <si>
    <t>Column Name</t>
  </si>
  <si>
    <t>Dimention/fact</t>
  </si>
  <si>
    <t>TImeReports</t>
  </si>
  <si>
    <t>d</t>
  </si>
  <si>
    <t>f</t>
  </si>
  <si>
    <t>Is Key</t>
  </si>
  <si>
    <t>cityID</t>
  </si>
  <si>
    <t>countOfEmployeeID</t>
  </si>
  <si>
    <t>scheduleDuration</t>
  </si>
  <si>
    <t>countOfShiftIDs</t>
  </si>
  <si>
    <t>shiftDuration</t>
  </si>
  <si>
    <t>timePunchOriginalDuration</t>
  </si>
  <si>
    <t>sumOfReportedHours</t>
  </si>
  <si>
    <t>EmployeeScedules</t>
  </si>
  <si>
    <t>EmoployeeContracts</t>
  </si>
  <si>
    <t>timeReportAdjustedDuration</t>
  </si>
  <si>
    <t>Counties</t>
  </si>
  <si>
    <t>cityName</t>
  </si>
  <si>
    <t>Made in the generator</t>
  </si>
  <si>
    <t>turn this to bool first and then date</t>
  </si>
  <si>
    <t xml:space="preserve">d </t>
  </si>
  <si>
    <t>employeeSceduleID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</si>
</sst>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x14ac:knownFonts="1">
    <font>
      <sz val="11"/>
      <color theme="1"/>
      <name val="Calibri"/>
      <family val="2"/>
      <scheme val="minor"/>
    </font>
    <font>
      <b/>
      <sz val="11"/>
      <color theme="0"/>
      <name val="Calibri"/>
      <family val="2"/>
      <scheme val="minor"/>
    </font>
    <font>
      <b/>
      <sz val="11"/>
      <color theme="1"/>
      <name val="Calibri"/>
      <family val="2"/>
      <scheme val="minor"/>
    </font>
    <font>
      <b/>
      <sz val="13"/>
      <color rgb="FF434343"/>
      <name val="Trebuchet MS"/>
      <family val="2"/>
    </font>
    <font>
      <sz val="11"/>
      <color rgb="FF434343"/>
      <name val="Georgia"/>
      <family val="1"/>
    </font>
    <font>
      <sz val="8"/>
      <color rgb="FF434343"/>
      <name val="Courier New"/>
      <family val="3"/>
    </font>
    <font>
      <b/>
      <sz val="8"/>
      <color rgb="FF434343"/>
      <name val="Courier New"/>
      <family val="3"/>
    </font>
    <font>
      <sz val="8.5"/>
      <color rgb="FF434343"/>
      <name val="Courier New"/>
      <family val="3"/>
    </font>
    <font>
      <sz val="16"/>
      <color rgb="FF434343"/>
      <name val="Trebuchet MS"/>
      <family val="2"/>
    </font>
    <font>
      <sz val="9"/>
      <color rgb="FF000000"/>
      <name val="Courier New"/>
      <family val="3"/>
    </font>
    <font>
      <sz val="9"/>
      <color rgb="FF000000"/>
      <name val="Tahoma"/>
      <family val="2"/>
    </font>
    <font>
      <b/>
      <sz val="11"/>
      <color theme="0"/>
      <name val="Courier New"/>
      <family val="3"/>
    </font>
    <font>
      <b/>
      <sz val="11"/>
      <color rgb="FF505050"/>
      <name val="Calibri"/>
      <family val="2"/>
      <scheme val="minor"/>
    </font>
    <font>
      <sz val="11"/>
      <color rgb="FF3B4151"/>
      <name val="Calibri"/>
      <family val="2"/>
      <scheme val="minor"/>
    </font>
    <font>
      <sz val="11"/>
      <color rgb="FF5555AA"/>
      <name val="Calibri"/>
      <family val="2"/>
      <scheme val="minor"/>
    </font>
    <font>
      <sz val="11"/>
      <color rgb="FF505050"/>
      <name val="Calibri"/>
      <family val="2"/>
      <scheme val="minor"/>
    </font>
    <font>
      <b/>
      <sz val="11"/>
      <color rgb="FFFA7D00"/>
      <name val="Calibri"/>
      <family val="2"/>
      <scheme val="minor"/>
    </font>
    <font>
      <sz val="11"/>
      <color rgb="FFFA7D00"/>
      <name val="Calibri"/>
      <family val="2"/>
      <scheme val="minor"/>
    </font>
    <font>
      <sz val="11"/>
      <color theme="0"/>
      <name val="Calibri"/>
      <family val="2"/>
      <scheme val="minor"/>
    </font>
    <font>
      <sz val="10"/>
      <color theme="1"/>
      <name val="Calibri"/>
      <family val="2"/>
      <scheme val="minor"/>
    </font>
    <font>
      <b/>
      <sz val="9"/>
      <color indexed="81"/>
      <name val="Tahoma"/>
      <family val="2"/>
    </font>
    <font>
      <b/>
      <sz val="10"/>
      <color theme="0"/>
      <name val="Calibri"/>
      <family val="2"/>
      <scheme val="minor"/>
    </font>
    <font>
      <b/>
      <sz val="10"/>
      <color rgb="FF434343"/>
      <name val="Calibri"/>
      <family val="2"/>
      <scheme val="minor"/>
    </font>
    <font>
      <sz val="10"/>
      <name val="Calibri"/>
      <family val="2"/>
      <scheme val="minor"/>
    </font>
    <font>
      <b/>
      <sz val="10"/>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theme="1"/>
      <name val="Calibri"/>
      <family val="2"/>
      <scheme val="minor"/>
    </font>
    <font>
      <i/>
      <sz val="11"/>
      <color theme="1"/>
      <name val="Calibri"/>
      <family val="2"/>
      <scheme val="minor"/>
    </font>
    <font>
      <sz val="20"/>
      <color theme="1"/>
      <name val="Calibri Light"/>
      <family val="2"/>
    </font>
    <font>
      <sz val="10"/>
      <color rgb="FF3165BB"/>
      <name val="Consolas"/>
      <family val="3"/>
    </font>
    <font>
      <sz val="10"/>
      <color rgb="FF000000"/>
      <name val="Consolas"/>
      <family val="3"/>
    </font>
    <font>
      <sz val="10"/>
      <color rgb="FF001080"/>
      <name val="Consolas"/>
      <family val="3"/>
    </font>
    <font>
      <b/>
      <sz val="11"/>
      <color theme="1"/>
      <name val="Courier New"/>
      <family val="3"/>
    </font>
    <font>
      <sz val="7"/>
      <color theme="1"/>
      <name val="Segoe UI"/>
      <family val="2"/>
    </font>
    <font>
      <sz val="7"/>
      <color rgb="FF242424"/>
      <name val="Segoe UI"/>
      <family val="2"/>
    </font>
    <font>
      <sz val="9"/>
      <color indexed="81"/>
      <name val="Tahoma"/>
      <family val="2"/>
    </font>
    <font>
      <sz val="11"/>
      <color rgb="FFCC3399"/>
      <name val="Calibri"/>
      <family val="2"/>
      <scheme val="minor"/>
    </font>
    <font>
      <b/>
      <sz val="11"/>
      <color rgb="FF006100"/>
      <name val="Calibri"/>
      <family val="2"/>
      <scheme val="minor"/>
    </font>
    <font>
      <b/>
      <sz val="10"/>
      <color theme="1"/>
      <name val="Calibri"/>
      <family val="2"/>
      <scheme val="minor"/>
    </font>
    <font>
      <sz val="18"/>
      <color theme="1"/>
      <name val="Calibri"/>
      <family val="2"/>
      <scheme val="minor"/>
    </font>
    <font>
      <sz val="10"/>
      <color rgb="FFFF0000"/>
      <name val="Calibri"/>
      <family val="2"/>
      <scheme val="minor"/>
    </font>
    <font>
      <sz val="10"/>
      <color rgb="FF000000"/>
      <name val="Calibri"/>
      <family val="2"/>
      <scheme val="minor"/>
    </font>
    <font>
      <sz val="8"/>
      <name val="Calibri"/>
      <family val="2"/>
      <scheme val="minor"/>
    </font>
    <font>
      <sz val="9"/>
      <color indexed="81"/>
      <name val="Tahoma"/>
      <charset val="1"/>
    </font>
    <font>
      <b/>
      <sz val="9"/>
      <color indexed="81"/>
      <name val="Tahoma"/>
      <charset val="1"/>
    </font>
    <font>
      <strike/>
      <sz val="11"/>
      <color rgb="FF006100"/>
      <name val="Calibri"/>
      <family val="2"/>
      <scheme val="minor"/>
    </font>
  </fonts>
  <fills count="36">
    <fill>
      <patternFill patternType="none"/>
    </fill>
    <fill>
      <patternFill patternType="gray125"/>
    </fill>
    <fill>
      <patternFill patternType="solid">
        <fgColor theme="4" tint="0.59999389629810485"/>
        <bgColor indexed="64"/>
      </patternFill>
    </fill>
    <fill>
      <patternFill patternType="solid">
        <fgColor rgb="FFFFE989"/>
        <bgColor indexed="64"/>
      </patternFill>
    </fill>
    <fill>
      <patternFill patternType="solid">
        <fgColor rgb="FFF2F2F2"/>
        <bgColor indexed="64"/>
      </patternFill>
    </fill>
    <fill>
      <patternFill patternType="solid">
        <fgColor theme="5"/>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F0000"/>
        <bgColor indexed="64"/>
      </patternFill>
    </fill>
    <fill>
      <patternFill patternType="solid">
        <fgColor theme="7" tint="0.39997558519241921"/>
        <bgColor indexed="64"/>
      </patternFill>
    </fill>
    <fill>
      <patternFill patternType="solid">
        <fgColor theme="5" tint="-0.249977111117893"/>
        <bgColor indexed="64"/>
      </patternFill>
    </fill>
    <fill>
      <patternFill patternType="solid">
        <fgColor theme="7" tint="0.79998168889431442"/>
        <bgColor indexed="64"/>
      </patternFill>
    </fill>
    <fill>
      <patternFill patternType="solid">
        <fgColor rgb="FFF2F2F2"/>
      </patternFill>
    </fill>
    <fill>
      <patternFill patternType="solid">
        <fgColor theme="4" tint="0.39997558519241921"/>
        <bgColor indexed="64"/>
      </patternFill>
    </fill>
    <fill>
      <patternFill patternType="solid">
        <fgColor theme="4"/>
        <bgColor indexed="64"/>
      </patternFill>
    </fill>
    <fill>
      <patternFill patternType="solid">
        <fgColor rgb="FFFFC0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theme="3" tint="0.59999389629810485"/>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7" tint="-0.499984740745262"/>
        <bgColor indexed="64"/>
      </patternFill>
    </fill>
    <fill>
      <patternFill patternType="solid">
        <fgColor theme="0" tint="-0.249977111117893"/>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theme="7"/>
        <bgColor indexed="64"/>
      </patternFill>
    </fill>
    <fill>
      <patternFill patternType="solid">
        <fgColor rgb="FFCC3399"/>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theme="8" tint="0.39997558519241921"/>
        <bgColor indexed="64"/>
      </patternFill>
    </fill>
    <fill>
      <patternFill patternType="solid">
        <fgColor theme="7"/>
      </patternFill>
    </fill>
    <fill>
      <patternFill patternType="solid">
        <fgColor theme="7" tint="0.39997558519241921"/>
        <bgColor indexed="65"/>
      </patternFill>
    </fill>
    <fill>
      <patternFill patternType="solid">
        <fgColor rgb="FFA5A5A5"/>
      </patternFill>
    </fill>
    <fill>
      <patternFill patternType="solid">
        <fgColor theme="3" tint="-0.249977111117893"/>
        <bgColor indexed="64"/>
      </patternFill>
    </fill>
    <fill>
      <patternFill patternType="solid">
        <fgColor theme="3" tint="0.3999755851924192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style="medium">
        <color rgb="FF000000"/>
      </top>
      <bottom style="medium">
        <color rgb="FF000000"/>
      </bottom>
      <diagonal/>
    </border>
    <border>
      <left/>
      <right style="thin">
        <color indexed="64"/>
      </right>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medium">
        <color rgb="FF000000"/>
      </right>
      <top style="medium">
        <color rgb="FF000000"/>
      </top>
      <bottom/>
      <diagonal/>
    </border>
    <border>
      <left/>
      <right/>
      <top/>
      <bottom style="thin">
        <color indexed="64"/>
      </bottom>
      <diagonal/>
    </border>
    <border>
      <left style="thin">
        <color indexed="64"/>
      </left>
      <right style="thin">
        <color indexed="64"/>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style="thin">
        <color rgb="FF7F7F7F"/>
      </top>
      <bottom/>
      <diagonal/>
    </border>
    <border>
      <left style="thin">
        <color indexed="64"/>
      </left>
      <right/>
      <top/>
      <bottom/>
      <diagonal/>
    </border>
    <border>
      <left style="hair">
        <color theme="2" tint="-0.249977111117893"/>
      </left>
      <right style="hair">
        <color theme="2" tint="-0.249977111117893"/>
      </right>
      <top style="hair">
        <color theme="2" tint="-0.249977111117893"/>
      </top>
      <bottom style="hair">
        <color theme="2" tint="-0.249977111117893"/>
      </bottom>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bottom/>
      <diagonal/>
    </border>
  </borders>
  <cellStyleXfs count="8">
    <xf numFmtId="0" fontId="0" fillId="0" borderId="0"/>
    <xf numFmtId="0" fontId="16" fillId="12" borderId="11" applyNumberFormat="0" applyAlignment="0" applyProtection="0"/>
    <xf numFmtId="0" fontId="28" fillId="16" borderId="0" applyNumberFormat="0" applyBorder="0" applyAlignment="0" applyProtection="0"/>
    <xf numFmtId="0" fontId="29" fillId="17" borderId="0" applyNumberFormat="0" applyBorder="0" applyAlignment="0" applyProtection="0"/>
    <xf numFmtId="0" fontId="30" fillId="18" borderId="0" applyNumberFormat="0" applyBorder="0" applyAlignment="0" applyProtection="0"/>
    <xf numFmtId="0" fontId="18" fillId="31" borderId="0" applyNumberFormat="0" applyBorder="0" applyAlignment="0" applyProtection="0"/>
    <xf numFmtId="0" fontId="31" fillId="32" borderId="0" applyNumberFormat="0" applyBorder="0" applyAlignment="0" applyProtection="0"/>
    <xf numFmtId="0" fontId="1" fillId="33" borderId="15" applyNumberFormat="0" applyAlignment="0" applyProtection="0"/>
  </cellStyleXfs>
  <cellXfs count="253">
    <xf numFmtId="0" fontId="0" fillId="0" borderId="0" xfId="0"/>
    <xf numFmtId="0" fontId="3" fillId="0" borderId="0" xfId="0" applyFont="1" applyAlignment="1">
      <alignment vertical="center"/>
    </xf>
    <xf numFmtId="0" fontId="4" fillId="3" borderId="1" xfId="0" applyFont="1" applyFill="1" applyBorder="1" applyAlignment="1">
      <alignment vertical="center" wrapText="1"/>
    </xf>
    <xf numFmtId="0" fontId="5" fillId="4" borderId="1" xfId="0" applyFont="1" applyFill="1" applyBorder="1" applyAlignment="1">
      <alignment vertical="center" wrapText="1"/>
    </xf>
    <xf numFmtId="0" fontId="4" fillId="3" borderId="3" xfId="0" applyFont="1" applyFill="1" applyBorder="1" applyAlignment="1">
      <alignment vertical="center" wrapText="1"/>
    </xf>
    <xf numFmtId="0" fontId="4" fillId="0" borderId="0" xfId="0" applyFont="1" applyAlignment="1">
      <alignment vertical="center"/>
    </xf>
    <xf numFmtId="21" fontId="5" fillId="4" borderId="1" xfId="0" applyNumberFormat="1" applyFont="1" applyFill="1" applyBorder="1" applyAlignment="1">
      <alignment vertical="center" wrapText="1"/>
    </xf>
    <xf numFmtId="0" fontId="0" fillId="0" borderId="1" xfId="0" applyBorder="1"/>
    <xf numFmtId="0" fontId="6" fillId="4" borderId="1" xfId="0" applyFont="1" applyFill="1" applyBorder="1" applyAlignment="1">
      <alignment vertical="center" wrapText="1"/>
    </xf>
    <xf numFmtId="0" fontId="5" fillId="4" borderId="3" xfId="0" applyFont="1" applyFill="1" applyBorder="1" applyAlignment="1">
      <alignment vertical="center" wrapText="1"/>
    </xf>
    <xf numFmtId="0" fontId="0" fillId="4" borderId="3" xfId="0" applyFill="1" applyBorder="1" applyAlignment="1">
      <alignment vertical="top" wrapText="1"/>
    </xf>
    <xf numFmtId="0" fontId="0" fillId="4" borderId="1" xfId="0" applyFill="1" applyBorder="1" applyAlignment="1">
      <alignment vertical="top" wrapText="1"/>
    </xf>
    <xf numFmtId="0" fontId="8" fillId="0" borderId="0" xfId="0" applyFont="1" applyAlignment="1">
      <alignment vertical="center"/>
    </xf>
    <xf numFmtId="0" fontId="4" fillId="3" borderId="2" xfId="0" applyFont="1" applyFill="1" applyBorder="1" applyAlignment="1">
      <alignment vertical="center" wrapText="1"/>
    </xf>
    <xf numFmtId="14" fontId="5" fillId="4" borderId="1" xfId="0" applyNumberFormat="1" applyFont="1" applyFill="1" applyBorder="1" applyAlignment="1">
      <alignment vertical="center" wrapText="1"/>
    </xf>
    <xf numFmtId="20" fontId="5" fillId="4" borderId="1" xfId="0" applyNumberFormat="1" applyFont="1" applyFill="1" applyBorder="1" applyAlignment="1">
      <alignment vertical="center" wrapText="1"/>
    </xf>
    <xf numFmtId="0" fontId="5" fillId="4" borderId="0" xfId="0" applyFont="1" applyFill="1" applyAlignment="1">
      <alignment vertical="center" wrapText="1"/>
    </xf>
    <xf numFmtId="0" fontId="4" fillId="3" borderId="4" xfId="0" applyFont="1" applyFill="1" applyBorder="1" applyAlignment="1">
      <alignment vertical="center" wrapText="1"/>
    </xf>
    <xf numFmtId="0" fontId="9" fillId="4" borderId="0" xfId="0" applyFont="1" applyFill="1" applyAlignment="1">
      <alignment vertical="center" wrapText="1"/>
    </xf>
    <xf numFmtId="0" fontId="2" fillId="6" borderId="1" xfId="0" applyFont="1" applyFill="1" applyBorder="1"/>
    <xf numFmtId="0" fontId="2" fillId="6" borderId="1" xfId="0" applyFont="1" applyFill="1" applyBorder="1" applyAlignment="1">
      <alignment horizontal="left"/>
    </xf>
    <xf numFmtId="0" fontId="0" fillId="0" borderId="1" xfId="0" applyBorder="1" applyAlignment="1">
      <alignment horizontal="left"/>
    </xf>
    <xf numFmtId="0" fontId="0" fillId="5" borderId="1" xfId="0" applyFill="1" applyBorder="1"/>
    <xf numFmtId="0" fontId="0" fillId="5" borderId="1" xfId="0" applyFill="1" applyBorder="1" applyAlignment="1">
      <alignment horizontal="left"/>
    </xf>
    <xf numFmtId="0" fontId="0" fillId="7" borderId="1" xfId="0" applyFill="1" applyBorder="1"/>
    <xf numFmtId="14" fontId="0" fillId="0" borderId="1" xfId="0" applyNumberFormat="1" applyBorder="1" applyAlignment="1">
      <alignment horizontal="left"/>
    </xf>
    <xf numFmtId="0" fontId="4" fillId="3" borderId="8" xfId="0" applyFont="1" applyFill="1" applyBorder="1" applyAlignment="1">
      <alignment vertical="center" wrapText="1"/>
    </xf>
    <xf numFmtId="0" fontId="7" fillId="4" borderId="1" xfId="0" applyFont="1" applyFill="1" applyBorder="1" applyAlignment="1">
      <alignment vertical="center" wrapText="1"/>
    </xf>
    <xf numFmtId="0" fontId="12" fillId="2" borderId="0" xfId="0" applyFont="1" applyFill="1"/>
    <xf numFmtId="0" fontId="0" fillId="2" borderId="0" xfId="0" applyFill="1"/>
    <xf numFmtId="0" fontId="13" fillId="0" borderId="0" xfId="0" applyFont="1" applyAlignment="1">
      <alignment vertical="top" wrapText="1"/>
    </xf>
    <xf numFmtId="0" fontId="14" fillId="0" borderId="0" xfId="0" applyFont="1" applyAlignment="1">
      <alignment vertical="top" wrapText="1"/>
    </xf>
    <xf numFmtId="0" fontId="13" fillId="0" borderId="0" xfId="0" applyFont="1" applyAlignment="1">
      <alignment vertical="center" wrapText="1"/>
    </xf>
    <xf numFmtId="0" fontId="13" fillId="0" borderId="0" xfId="0" applyFont="1" applyAlignment="1">
      <alignment vertical="top"/>
    </xf>
    <xf numFmtId="0" fontId="13" fillId="0" borderId="0" xfId="0" applyFont="1" applyAlignment="1">
      <alignment horizontal="left" vertical="top" wrapText="1" indent="1"/>
    </xf>
    <xf numFmtId="0" fontId="15" fillId="0" borderId="0" xfId="0" applyFont="1" applyAlignment="1">
      <alignment vertical="top" wrapText="1"/>
    </xf>
    <xf numFmtId="0" fontId="13" fillId="0" borderId="0" xfId="0" applyFont="1"/>
    <xf numFmtId="0" fontId="19" fillId="0" borderId="0" xfId="0" applyFont="1"/>
    <xf numFmtId="0" fontId="22" fillId="3" borderId="1" xfId="0" applyFont="1" applyFill="1" applyBorder="1" applyAlignment="1">
      <alignment vertical="center" wrapText="1"/>
    </xf>
    <xf numFmtId="0" fontId="21" fillId="5" borderId="1" xfId="0" applyFont="1" applyFill="1" applyBorder="1" applyAlignment="1">
      <alignment vertical="center" wrapText="1"/>
    </xf>
    <xf numFmtId="0" fontId="21" fillId="5" borderId="10" xfId="0" applyFont="1" applyFill="1" applyBorder="1" applyAlignment="1">
      <alignment vertical="center" wrapText="1"/>
    </xf>
    <xf numFmtId="0" fontId="21" fillId="13" borderId="5" xfId="0" applyFont="1" applyFill="1" applyBorder="1" applyAlignment="1">
      <alignment vertical="center" wrapText="1"/>
    </xf>
    <xf numFmtId="14" fontId="23" fillId="0" borderId="1" xfId="0" applyNumberFormat="1" applyFont="1" applyBorder="1" applyAlignment="1">
      <alignment horizontal="left" vertical="center"/>
    </xf>
    <xf numFmtId="0" fontId="19" fillId="0" borderId="0" xfId="0" applyFont="1" applyAlignment="1">
      <alignment horizontal="left" vertical="center"/>
    </xf>
    <xf numFmtId="0" fontId="23" fillId="0" borderId="1" xfId="0" applyFont="1" applyBorder="1" applyAlignment="1">
      <alignment horizontal="left" vertical="center"/>
    </xf>
    <xf numFmtId="0" fontId="23" fillId="15" borderId="1" xfId="0" applyFont="1" applyFill="1" applyBorder="1" applyAlignment="1">
      <alignment horizontal="left" vertical="center" wrapText="1"/>
    </xf>
    <xf numFmtId="0" fontId="27" fillId="9" borderId="0" xfId="0" applyFont="1" applyFill="1" applyAlignment="1">
      <alignment horizontal="center" vertical="center"/>
    </xf>
    <xf numFmtId="0" fontId="27" fillId="9" borderId="0" xfId="0" applyFont="1" applyFill="1" applyAlignment="1">
      <alignment vertical="center"/>
    </xf>
    <xf numFmtId="0" fontId="27" fillId="10" borderId="0" xfId="0" applyFont="1" applyFill="1" applyAlignment="1">
      <alignment vertical="center"/>
    </xf>
    <xf numFmtId="0" fontId="25" fillId="10" borderId="0" xfId="0" applyFont="1" applyFill="1" applyAlignment="1">
      <alignment vertical="center"/>
    </xf>
    <xf numFmtId="0" fontId="23" fillId="15" borderId="1" xfId="0" applyFont="1" applyFill="1" applyBorder="1" applyAlignment="1">
      <alignment horizontal="left" vertical="center"/>
    </xf>
    <xf numFmtId="0" fontId="27" fillId="9" borderId="0" xfId="0" applyFont="1" applyFill="1" applyAlignment="1">
      <alignment horizontal="left" vertical="center" indent="1"/>
    </xf>
    <xf numFmtId="0" fontId="26" fillId="10" borderId="0" xfId="0" applyFont="1" applyFill="1" applyAlignment="1">
      <alignment horizontal="left" vertical="center" indent="1"/>
    </xf>
    <xf numFmtId="0" fontId="17" fillId="12" borderId="11" xfId="1" applyFont="1" applyAlignment="1">
      <alignment horizontal="left" vertical="center"/>
    </xf>
    <xf numFmtId="0" fontId="23" fillId="0" borderId="1" xfId="0" applyFont="1" applyBorder="1"/>
    <xf numFmtId="0" fontId="23" fillId="15" borderId="1" xfId="0" applyFont="1" applyFill="1" applyBorder="1"/>
    <xf numFmtId="0" fontId="17" fillId="12" borderId="11" xfId="1" applyFont="1"/>
    <xf numFmtId="0" fontId="17" fillId="12" borderId="12" xfId="1" applyFont="1" applyBorder="1" applyAlignment="1">
      <alignment horizontal="left" vertical="center"/>
    </xf>
    <xf numFmtId="0" fontId="28" fillId="16" borderId="1" xfId="2" applyBorder="1"/>
    <xf numFmtId="0" fontId="29" fillId="17" borderId="1" xfId="3" applyBorder="1"/>
    <xf numFmtId="0" fontId="28" fillId="16" borderId="1" xfId="2" applyBorder="1" applyAlignment="1">
      <alignment horizontal="left"/>
    </xf>
    <xf numFmtId="0" fontId="29" fillId="17" borderId="1" xfId="3" applyBorder="1" applyAlignment="1">
      <alignment horizontal="left"/>
    </xf>
    <xf numFmtId="0" fontId="28" fillId="16" borderId="1" xfId="2" applyBorder="1" applyAlignment="1">
      <alignment horizontal="left" vertical="center"/>
    </xf>
    <xf numFmtId="0" fontId="21" fillId="13" borderId="1" xfId="0" applyFont="1" applyFill="1" applyBorder="1" applyAlignment="1">
      <alignment vertical="center" wrapText="1"/>
    </xf>
    <xf numFmtId="0" fontId="21" fillId="19" borderId="1" xfId="0" applyFont="1" applyFill="1" applyBorder="1" applyAlignment="1">
      <alignment vertical="center" wrapText="1"/>
    </xf>
    <xf numFmtId="0" fontId="31" fillId="0" borderId="1" xfId="3" applyFont="1" applyFill="1" applyBorder="1"/>
    <xf numFmtId="0" fontId="0" fillId="0" borderId="10" xfId="0" applyBorder="1"/>
    <xf numFmtId="0" fontId="0" fillId="0" borderId="6" xfId="0" applyBorder="1"/>
    <xf numFmtId="0" fontId="1" fillId="19" borderId="7" xfId="0" applyFont="1" applyFill="1" applyBorder="1" applyAlignment="1">
      <alignment vertical="center" wrapText="1"/>
    </xf>
    <xf numFmtId="0" fontId="1" fillId="19" borderId="1" xfId="0" applyFont="1" applyFill="1" applyBorder="1" applyAlignment="1">
      <alignment vertical="center" wrapText="1"/>
    </xf>
    <xf numFmtId="0" fontId="0" fillId="0" borderId="1" xfId="0" applyBorder="1" applyAlignment="1">
      <alignment wrapText="1"/>
    </xf>
    <xf numFmtId="0" fontId="33" fillId="0" borderId="0" xfId="0" applyFont="1"/>
    <xf numFmtId="0" fontId="0" fillId="0" borderId="0" xfId="0" applyAlignment="1">
      <alignment wrapText="1"/>
    </xf>
    <xf numFmtId="0" fontId="23" fillId="0" borderId="1" xfId="0" applyFont="1" applyBorder="1" applyAlignment="1">
      <alignment horizontal="left" vertical="center" wrapText="1"/>
    </xf>
    <xf numFmtId="0" fontId="22" fillId="3" borderId="1" xfId="0" applyFont="1" applyFill="1" applyBorder="1" applyAlignment="1">
      <alignment vertical="center"/>
    </xf>
    <xf numFmtId="0" fontId="21" fillId="5" borderId="1" xfId="0" applyFont="1" applyFill="1" applyBorder="1" applyAlignment="1">
      <alignment vertical="center"/>
    </xf>
    <xf numFmtId="0" fontId="21" fillId="5" borderId="10" xfId="0" applyFont="1" applyFill="1" applyBorder="1" applyAlignment="1">
      <alignment vertical="center"/>
    </xf>
    <xf numFmtId="0" fontId="21" fillId="13" borderId="5" xfId="0" applyFont="1" applyFill="1" applyBorder="1" applyAlignment="1">
      <alignment vertical="center"/>
    </xf>
    <xf numFmtId="0" fontId="21" fillId="13" borderId="10" xfId="0" applyFont="1" applyFill="1" applyBorder="1" applyAlignment="1">
      <alignment vertical="center"/>
    </xf>
    <xf numFmtId="0" fontId="24" fillId="0" borderId="1" xfId="0" applyFont="1" applyBorder="1" applyAlignment="1">
      <alignment horizontal="left" vertical="center"/>
    </xf>
    <xf numFmtId="0" fontId="0" fillId="21" borderId="0" xfId="0" applyFill="1" applyAlignment="1">
      <alignment vertical="center"/>
    </xf>
    <xf numFmtId="0" fontId="0" fillId="22" borderId="0" xfId="0" applyFill="1" applyAlignment="1">
      <alignment vertical="center"/>
    </xf>
    <xf numFmtId="0" fontId="11" fillId="23" borderId="1" xfId="0" applyFont="1" applyFill="1" applyBorder="1" applyAlignment="1">
      <alignment vertical="center" wrapText="1"/>
    </xf>
    <xf numFmtId="0" fontId="11" fillId="23" borderId="10" xfId="0" applyFont="1" applyFill="1" applyBorder="1" applyAlignment="1">
      <alignment vertical="center" wrapText="1"/>
    </xf>
    <xf numFmtId="0" fontId="11" fillId="24" borderId="10" xfId="0" applyFont="1" applyFill="1" applyBorder="1" applyAlignment="1">
      <alignment vertical="center" wrapText="1"/>
    </xf>
    <xf numFmtId="0" fontId="11" fillId="25" borderId="10" xfId="0" applyFont="1" applyFill="1" applyBorder="1" applyAlignment="1">
      <alignment vertical="center" wrapText="1"/>
    </xf>
    <xf numFmtId="0" fontId="11" fillId="25" borderId="0" xfId="0" applyFont="1" applyFill="1" applyAlignment="1">
      <alignment vertical="center" wrapText="1"/>
    </xf>
    <xf numFmtId="14" fontId="23" fillId="0" borderId="1" xfId="0" applyNumberFormat="1" applyFont="1" applyBorder="1" applyAlignment="1">
      <alignment horizontal="left" vertical="center" wrapText="1"/>
    </xf>
    <xf numFmtId="0" fontId="24" fillId="0" borderId="1" xfId="0" applyFont="1" applyBorder="1" applyAlignment="1">
      <alignment horizontal="left" vertical="center" wrapText="1"/>
    </xf>
    <xf numFmtId="0" fontId="18" fillId="22" borderId="0" xfId="0" applyFont="1" applyFill="1" applyAlignment="1">
      <alignment vertical="center"/>
    </xf>
    <xf numFmtId="0" fontId="19" fillId="0" borderId="1" xfId="0" applyFont="1" applyBorder="1" applyAlignment="1">
      <alignment wrapText="1"/>
    </xf>
    <xf numFmtId="0" fontId="30" fillId="18" borderId="0" xfId="4"/>
    <xf numFmtId="0" fontId="29" fillId="17" borderId="0" xfId="3"/>
    <xf numFmtId="0" fontId="28" fillId="16" borderId="1" xfId="2" applyBorder="1" applyAlignment="1"/>
    <xf numFmtId="0" fontId="28" fillId="16" borderId="10" xfId="2" applyBorder="1" applyAlignment="1"/>
    <xf numFmtId="0" fontId="0" fillId="26" borderId="0" xfId="0" applyFill="1"/>
    <xf numFmtId="0" fontId="11" fillId="24" borderId="13" xfId="0" applyFont="1" applyFill="1" applyBorder="1" applyAlignment="1">
      <alignment vertical="center" wrapText="1"/>
    </xf>
    <xf numFmtId="0" fontId="11" fillId="24" borderId="4" xfId="0" applyFont="1" applyFill="1" applyBorder="1" applyAlignment="1">
      <alignment vertical="center" wrapText="1"/>
    </xf>
    <xf numFmtId="0" fontId="0" fillId="26" borderId="1" xfId="0" applyFill="1" applyBorder="1" applyAlignment="1">
      <alignment vertical="center"/>
    </xf>
    <xf numFmtId="0" fontId="0" fillId="9" borderId="1" xfId="0" applyFill="1" applyBorder="1" applyAlignment="1">
      <alignment vertical="center"/>
    </xf>
    <xf numFmtId="0" fontId="37" fillId="9" borderId="1" xfId="0" applyFont="1" applyFill="1" applyBorder="1" applyAlignment="1">
      <alignment vertical="center" wrapText="1"/>
    </xf>
    <xf numFmtId="0" fontId="37" fillId="26" borderId="1" xfId="0" applyFont="1" applyFill="1" applyBorder="1" applyAlignment="1">
      <alignment vertical="center" wrapText="1"/>
    </xf>
    <xf numFmtId="0" fontId="0" fillId="8" borderId="1" xfId="0" applyFill="1" applyBorder="1"/>
    <xf numFmtId="0" fontId="38" fillId="0" borderId="0" xfId="0" applyFont="1" applyAlignment="1">
      <alignment vertical="center" wrapText="1"/>
    </xf>
    <xf numFmtId="0" fontId="28" fillId="16" borderId="0" xfId="2"/>
    <xf numFmtId="0" fontId="28" fillId="16" borderId="0" xfId="2" applyBorder="1"/>
    <xf numFmtId="0" fontId="30" fillId="18" borderId="1" xfId="4" applyBorder="1"/>
    <xf numFmtId="0" fontId="28" fillId="16" borderId="6" xfId="2" applyBorder="1"/>
    <xf numFmtId="0" fontId="30" fillId="18" borderId="6" xfId="4" applyBorder="1"/>
    <xf numFmtId="0" fontId="18" fillId="21" borderId="0" xfId="0" applyFont="1" applyFill="1" applyAlignment="1">
      <alignment vertical="center"/>
    </xf>
    <xf numFmtId="0" fontId="39" fillId="0" borderId="0" xfId="0" applyFont="1"/>
    <xf numFmtId="0" fontId="21" fillId="13" borderId="13" xfId="0" applyFont="1" applyFill="1" applyBorder="1" applyAlignment="1">
      <alignment vertical="center" wrapText="1"/>
    </xf>
    <xf numFmtId="0" fontId="19" fillId="0" borderId="1" xfId="0" applyFont="1" applyBorder="1" applyAlignment="1">
      <alignment horizontal="left" vertical="center"/>
    </xf>
    <xf numFmtId="0" fontId="19" fillId="0" borderId="5" xfId="0" applyFont="1" applyBorder="1" applyAlignment="1">
      <alignment horizontal="left" vertical="center"/>
    </xf>
    <xf numFmtId="0" fontId="0" fillId="11" borderId="0" xfId="0" applyFill="1"/>
    <xf numFmtId="14" fontId="0" fillId="11" borderId="0" xfId="0" applyNumberFormat="1" applyFill="1"/>
    <xf numFmtId="0" fontId="24" fillId="11" borderId="13" xfId="0" applyFont="1" applyFill="1" applyBorder="1" applyAlignment="1">
      <alignment vertical="center" wrapText="1"/>
    </xf>
    <xf numFmtId="0" fontId="28" fillId="16" borderId="5" xfId="2" applyBorder="1" applyAlignment="1">
      <alignment horizontal="left" vertical="center"/>
    </xf>
    <xf numFmtId="0" fontId="19" fillId="8" borderId="1" xfId="0" applyFont="1" applyFill="1" applyBorder="1" applyAlignment="1">
      <alignment horizontal="left" vertical="center"/>
    </xf>
    <xf numFmtId="0" fontId="41" fillId="27" borderId="0" xfId="0" applyFont="1" applyFill="1"/>
    <xf numFmtId="0" fontId="0" fillId="27" borderId="0" xfId="0" applyFill="1"/>
    <xf numFmtId="14" fontId="0" fillId="0" borderId="0" xfId="0" applyNumberFormat="1"/>
    <xf numFmtId="0" fontId="42" fillId="16" borderId="1" xfId="2" applyFont="1" applyBorder="1" applyAlignment="1">
      <alignment horizontal="left" vertical="center"/>
    </xf>
    <xf numFmtId="0" fontId="30" fillId="18" borderId="1" xfId="4" applyBorder="1" applyAlignment="1"/>
    <xf numFmtId="0" fontId="30" fillId="18" borderId="10" xfId="4" applyBorder="1" applyAlignment="1"/>
    <xf numFmtId="0" fontId="23" fillId="0" borderId="0" xfId="0" applyFont="1" applyAlignment="1">
      <alignment horizontal="left" vertical="center"/>
    </xf>
    <xf numFmtId="0" fontId="30" fillId="18" borderId="0" xfId="4" applyBorder="1" applyAlignment="1">
      <alignment horizontal="left" vertical="center"/>
    </xf>
    <xf numFmtId="0" fontId="43" fillId="0" borderId="1" xfId="0" applyFont="1" applyBorder="1" applyAlignment="1">
      <alignment horizontal="left" vertical="center"/>
    </xf>
    <xf numFmtId="0" fontId="11" fillId="28" borderId="10" xfId="0" applyFont="1" applyFill="1" applyBorder="1" applyAlignment="1">
      <alignment vertical="center" wrapText="1"/>
    </xf>
    <xf numFmtId="0" fontId="19" fillId="0" borderId="0" xfId="0" applyFont="1" applyAlignment="1">
      <alignment vertical="top"/>
    </xf>
    <xf numFmtId="0" fontId="19" fillId="0" borderId="0" xfId="0" applyFont="1" applyAlignment="1">
      <alignment horizontal="left" vertical="top"/>
    </xf>
    <xf numFmtId="0" fontId="19" fillId="0" borderId="0" xfId="0" applyFont="1" applyAlignment="1" applyProtection="1">
      <alignment horizontal="left" vertical="top"/>
      <protection locked="0"/>
    </xf>
    <xf numFmtId="0" fontId="25" fillId="0" borderId="0" xfId="0" applyFont="1" applyProtection="1">
      <protection locked="0"/>
    </xf>
    <xf numFmtId="0" fontId="0" fillId="21" borderId="0" xfId="0" applyFill="1"/>
    <xf numFmtId="0" fontId="18" fillId="22" borderId="0" xfId="0" applyFont="1" applyFill="1" applyProtection="1">
      <protection locked="0"/>
    </xf>
    <xf numFmtId="0" fontId="0" fillId="22" borderId="0" xfId="0" applyFill="1" applyProtection="1">
      <protection locked="0"/>
    </xf>
    <xf numFmtId="0" fontId="11" fillId="24" borderId="10" xfId="0" applyFont="1" applyFill="1" applyBorder="1" applyAlignment="1" applyProtection="1">
      <alignment wrapText="1"/>
      <protection locked="0"/>
    </xf>
    <xf numFmtId="0" fontId="11" fillId="28" borderId="10" xfId="0" applyFont="1" applyFill="1" applyBorder="1" applyAlignment="1" applyProtection="1">
      <alignment wrapText="1"/>
      <protection locked="0"/>
    </xf>
    <xf numFmtId="0" fontId="11" fillId="25" borderId="10" xfId="0" applyFont="1" applyFill="1" applyBorder="1" applyAlignment="1" applyProtection="1">
      <alignment wrapText="1"/>
      <protection locked="0"/>
    </xf>
    <xf numFmtId="0" fontId="11" fillId="25" borderId="0" xfId="0" applyFont="1" applyFill="1" applyAlignment="1" applyProtection="1">
      <alignment wrapText="1"/>
      <protection locked="0"/>
    </xf>
    <xf numFmtId="0" fontId="19" fillId="0" borderId="0" xfId="0" applyFont="1" applyAlignment="1">
      <alignment horizontal="left"/>
    </xf>
    <xf numFmtId="0" fontId="21" fillId="5" borderId="10" xfId="0" applyFont="1" applyFill="1" applyBorder="1" applyAlignment="1" applyProtection="1">
      <alignment horizontal="left" vertical="top" wrapText="1"/>
      <protection locked="0"/>
    </xf>
    <xf numFmtId="0" fontId="21" fillId="13" borderId="5" xfId="0" applyFont="1" applyFill="1" applyBorder="1" applyAlignment="1" applyProtection="1">
      <alignment horizontal="left" vertical="top" wrapText="1"/>
      <protection locked="0"/>
    </xf>
    <xf numFmtId="0" fontId="11" fillId="23" borderId="10" xfId="0" applyFont="1" applyFill="1" applyBorder="1" applyAlignment="1" applyProtection="1">
      <alignment horizontal="left" vertical="top" wrapText="1"/>
      <protection locked="0"/>
    </xf>
    <xf numFmtId="0" fontId="11" fillId="24" borderId="10" xfId="0" applyFont="1" applyFill="1" applyBorder="1" applyAlignment="1" applyProtection="1">
      <alignment horizontal="left" vertical="top" wrapText="1"/>
      <protection locked="0"/>
    </xf>
    <xf numFmtId="0" fontId="11" fillId="28" borderId="10" xfId="0" applyFont="1" applyFill="1" applyBorder="1" applyAlignment="1" applyProtection="1">
      <alignment horizontal="left" vertical="top" wrapText="1"/>
      <protection locked="0"/>
    </xf>
    <xf numFmtId="0" fontId="11" fillId="30" borderId="10" xfId="0" applyFont="1" applyFill="1" applyBorder="1" applyAlignment="1" applyProtection="1">
      <alignment horizontal="left" vertical="top" wrapText="1"/>
      <protection locked="0"/>
    </xf>
    <xf numFmtId="0" fontId="19" fillId="0" borderId="0" xfId="0" applyFont="1" applyAlignment="1">
      <alignment vertical="top" wrapText="1"/>
    </xf>
    <xf numFmtId="0" fontId="19" fillId="0" borderId="0" xfId="0" applyFont="1" applyAlignment="1" applyProtection="1">
      <alignment horizontal="left" vertical="top" wrapText="1"/>
      <protection locked="0"/>
    </xf>
    <xf numFmtId="0" fontId="44" fillId="9" borderId="0" xfId="0" applyFont="1" applyFill="1" applyAlignment="1">
      <alignment horizontal="left" vertical="top" wrapText="1"/>
    </xf>
    <xf numFmtId="0" fontId="0" fillId="21" borderId="0" xfId="0" applyFill="1" applyAlignment="1">
      <alignment horizontal="left" vertical="top" wrapText="1"/>
    </xf>
    <xf numFmtId="0" fontId="19" fillId="0" borderId="0" xfId="0" applyFont="1" applyAlignment="1">
      <alignment horizontal="left" vertical="top" wrapText="1"/>
    </xf>
    <xf numFmtId="0" fontId="44" fillId="9" borderId="0" xfId="0" applyFont="1" applyFill="1" applyAlignment="1" applyProtection="1">
      <alignment horizontal="left" vertical="top" wrapText="1"/>
      <protection locked="0"/>
    </xf>
    <xf numFmtId="0" fontId="0" fillId="21" borderId="0" xfId="0" applyFill="1" applyAlignment="1" applyProtection="1">
      <alignment horizontal="left" vertical="top" wrapText="1"/>
      <protection locked="0"/>
    </xf>
    <xf numFmtId="0" fontId="25" fillId="0" borderId="0" xfId="0" applyFont="1" applyAlignment="1">
      <alignment horizontal="left" vertical="top" wrapText="1"/>
    </xf>
    <xf numFmtId="0" fontId="26" fillId="0" borderId="0" xfId="0" applyFont="1" applyAlignment="1">
      <alignment horizontal="left" vertical="top" wrapText="1"/>
    </xf>
    <xf numFmtId="0" fontId="27" fillId="9" borderId="0" xfId="0" applyFont="1" applyFill="1" applyAlignment="1">
      <alignment horizontal="left" vertical="top" wrapText="1"/>
    </xf>
    <xf numFmtId="0" fontId="25" fillId="9" borderId="0" xfId="0" applyFont="1" applyFill="1" applyAlignment="1">
      <alignment horizontal="left" vertical="top" wrapText="1"/>
    </xf>
    <xf numFmtId="0" fontId="26" fillId="10" borderId="0" xfId="0" applyFont="1" applyFill="1" applyAlignment="1">
      <alignment horizontal="left" vertical="top" wrapText="1"/>
    </xf>
    <xf numFmtId="0" fontId="27" fillId="10" borderId="0" xfId="0" applyFont="1" applyFill="1" applyAlignment="1">
      <alignment horizontal="left" vertical="top" wrapText="1"/>
    </xf>
    <xf numFmtId="0" fontId="25" fillId="10" borderId="0" xfId="0" applyFont="1" applyFill="1" applyAlignment="1">
      <alignment horizontal="left" vertical="top" wrapText="1"/>
    </xf>
    <xf numFmtId="0" fontId="1" fillId="21" borderId="0" xfId="0" applyFont="1" applyFill="1" applyAlignment="1">
      <alignment horizontal="left" vertical="top" wrapText="1"/>
    </xf>
    <xf numFmtId="0" fontId="44" fillId="25" borderId="0" xfId="0" applyFont="1" applyFill="1" applyAlignment="1" applyProtection="1">
      <alignment horizontal="left" vertical="top" wrapText="1"/>
      <protection locked="0"/>
    </xf>
    <xf numFmtId="0" fontId="1" fillId="29" borderId="0" xfId="0" applyFont="1" applyFill="1" applyAlignment="1">
      <alignment horizontal="left" vertical="top" wrapText="1"/>
    </xf>
    <xf numFmtId="0" fontId="0" fillId="29" borderId="0" xfId="0" applyFill="1" applyAlignment="1">
      <alignment horizontal="left" vertical="top" wrapText="1"/>
    </xf>
    <xf numFmtId="0" fontId="0" fillId="29" borderId="0" xfId="0" applyFill="1" applyAlignment="1" applyProtection="1">
      <alignment horizontal="left" vertical="top" wrapText="1"/>
      <protection locked="0"/>
    </xf>
    <xf numFmtId="0" fontId="27" fillId="0" borderId="0" xfId="0" applyFont="1" applyAlignment="1">
      <alignment horizontal="left" vertical="top" wrapText="1"/>
    </xf>
    <xf numFmtId="0" fontId="2" fillId="0" borderId="0" xfId="0" applyFont="1"/>
    <xf numFmtId="0" fontId="22" fillId="3" borderId="5" xfId="0" applyFont="1" applyFill="1" applyBorder="1" applyAlignment="1" applyProtection="1">
      <alignment horizontal="left" vertical="top" wrapText="1"/>
      <protection locked="0"/>
    </xf>
    <xf numFmtId="0" fontId="21" fillId="5" borderId="5" xfId="0" applyFont="1" applyFill="1" applyBorder="1" applyAlignment="1" applyProtection="1">
      <alignment horizontal="left" vertical="top" wrapText="1"/>
      <protection locked="0"/>
    </xf>
    <xf numFmtId="0" fontId="11" fillId="23" borderId="5" xfId="0" applyFont="1" applyFill="1" applyBorder="1" applyAlignment="1" applyProtection="1">
      <alignment horizontal="left" vertical="top" wrapText="1"/>
      <protection locked="0"/>
    </xf>
    <xf numFmtId="0" fontId="23" fillId="0" borderId="14" xfId="0" applyFont="1" applyBorder="1" applyAlignment="1">
      <alignment vertical="top"/>
    </xf>
    <xf numFmtId="0" fontId="23" fillId="0" borderId="14" xfId="0" applyFont="1" applyBorder="1" applyAlignment="1">
      <alignment vertical="top" wrapText="1"/>
    </xf>
    <xf numFmtId="14" fontId="23" fillId="0" borderId="14" xfId="0" applyNumberFormat="1" applyFont="1" applyBorder="1" applyAlignment="1">
      <alignment vertical="top"/>
    </xf>
    <xf numFmtId="0" fontId="19" fillId="0" borderId="14" xfId="0" applyFont="1" applyBorder="1" applyAlignment="1">
      <alignment vertical="top"/>
    </xf>
    <xf numFmtId="0" fontId="19" fillId="0" borderId="14" xfId="0" applyFont="1" applyBorder="1" applyAlignment="1">
      <alignment horizontal="left"/>
    </xf>
    <xf numFmtId="0" fontId="19" fillId="0" borderId="14" xfId="0" applyFont="1" applyBorder="1" applyAlignment="1" applyProtection="1">
      <alignment vertical="top"/>
      <protection locked="0"/>
    </xf>
    <xf numFmtId="0" fontId="19" fillId="0" borderId="14" xfId="0" applyFont="1" applyBorder="1" applyAlignment="1" applyProtection="1">
      <alignment horizontal="left"/>
      <protection locked="0"/>
    </xf>
    <xf numFmtId="14" fontId="23" fillId="0" borderId="14" xfId="0" applyNumberFormat="1" applyFont="1" applyBorder="1" applyAlignment="1">
      <alignment vertical="top" wrapText="1"/>
    </xf>
    <xf numFmtId="20" fontId="23" fillId="0" borderId="14" xfId="0" applyNumberFormat="1" applyFont="1" applyBorder="1" applyAlignment="1">
      <alignment vertical="top" wrapText="1"/>
    </xf>
    <xf numFmtId="0" fontId="23" fillId="0" borderId="14" xfId="0" applyFont="1" applyBorder="1" applyAlignment="1">
      <alignment horizontal="left" vertical="top"/>
    </xf>
    <xf numFmtId="0" fontId="23" fillId="0" borderId="14" xfId="0" applyFont="1" applyBorder="1" applyAlignment="1">
      <alignment horizontal="left" vertical="top" wrapText="1"/>
    </xf>
    <xf numFmtId="14" fontId="23" fillId="0" borderId="14" xfId="0" applyNumberFormat="1" applyFont="1" applyBorder="1" applyAlignment="1">
      <alignment horizontal="left" vertical="top"/>
    </xf>
    <xf numFmtId="0" fontId="19" fillId="0" borderId="14" xfId="0" applyFont="1" applyBorder="1" applyAlignment="1">
      <alignment horizontal="left" vertical="top"/>
    </xf>
    <xf numFmtId="0" fontId="19" fillId="11" borderId="14" xfId="0" applyFont="1" applyFill="1" applyBorder="1" applyAlignment="1">
      <alignment horizontal="left" vertical="top"/>
    </xf>
    <xf numFmtId="0" fontId="19" fillId="0" borderId="14" xfId="0" applyFont="1" applyBorder="1" applyAlignment="1" applyProtection="1">
      <alignment horizontal="left" vertical="top"/>
      <protection locked="0"/>
    </xf>
    <xf numFmtId="0" fontId="19" fillId="0" borderId="14" xfId="0" applyFont="1" applyBorder="1" applyAlignment="1" applyProtection="1">
      <alignment vertical="top" wrapText="1"/>
      <protection locked="0"/>
    </xf>
    <xf numFmtId="0" fontId="24" fillId="0" borderId="14" xfId="0" applyFont="1" applyBorder="1" applyAlignment="1">
      <alignment vertical="top"/>
    </xf>
    <xf numFmtId="0" fontId="24" fillId="0" borderId="14" xfId="0" applyFont="1" applyBorder="1" applyAlignment="1">
      <alignment horizontal="left" vertical="top" wrapText="1"/>
    </xf>
    <xf numFmtId="0" fontId="24" fillId="0" borderId="14" xfId="0" applyFont="1" applyBorder="1" applyAlignment="1">
      <alignment vertical="top" wrapText="1"/>
    </xf>
    <xf numFmtId="0" fontId="19" fillId="0" borderId="14" xfId="0" applyFont="1" applyBorder="1" applyAlignment="1">
      <alignment vertical="top" wrapText="1"/>
    </xf>
    <xf numFmtId="0" fontId="19" fillId="11" borderId="14" xfId="0" applyFont="1" applyFill="1" applyBorder="1" applyAlignment="1">
      <alignment horizontal="left" vertical="top" wrapText="1"/>
    </xf>
    <xf numFmtId="0" fontId="19" fillId="0" borderId="14" xfId="0" applyFont="1" applyBorder="1" applyAlignment="1" applyProtection="1">
      <alignment horizontal="left" vertical="top" wrapText="1"/>
      <protection locked="0"/>
    </xf>
    <xf numFmtId="0" fontId="19" fillId="0" borderId="14" xfId="0" applyFont="1" applyBorder="1" applyAlignment="1" applyProtection="1">
      <alignment horizontal="left" wrapText="1"/>
      <protection locked="0"/>
    </xf>
    <xf numFmtId="14" fontId="23" fillId="0" borderId="14" xfId="0" applyNumberFormat="1" applyFont="1" applyBorder="1" applyAlignment="1">
      <alignment horizontal="left" vertical="top" wrapText="1"/>
    </xf>
    <xf numFmtId="0" fontId="23" fillId="15" borderId="14" xfId="0" applyFont="1" applyFill="1" applyBorder="1" applyAlignment="1">
      <alignment horizontal="left" vertical="top"/>
    </xf>
    <xf numFmtId="0" fontId="23" fillId="15" borderId="14" xfId="0" applyFont="1" applyFill="1" applyBorder="1" applyAlignment="1">
      <alignment horizontal="left" vertical="top" wrapText="1"/>
    </xf>
    <xf numFmtId="21" fontId="23" fillId="0" borderId="14" xfId="0" applyNumberFormat="1" applyFont="1" applyBorder="1" applyAlignment="1">
      <alignment vertical="top" wrapText="1"/>
    </xf>
    <xf numFmtId="0" fontId="19" fillId="0" borderId="14" xfId="0" applyFont="1" applyBorder="1" applyProtection="1">
      <protection locked="0"/>
    </xf>
    <xf numFmtId="0" fontId="29" fillId="17" borderId="14" xfId="3" applyBorder="1" applyAlignment="1">
      <alignment horizontal="left" vertical="top"/>
    </xf>
    <xf numFmtId="0" fontId="23" fillId="0" borderId="14" xfId="0" applyFont="1" applyBorder="1" applyAlignment="1">
      <alignment horizontal="left"/>
    </xf>
    <xf numFmtId="0" fontId="23" fillId="0" borderId="14" xfId="0" applyFont="1" applyBorder="1" applyAlignment="1" applyProtection="1">
      <alignment horizontal="left"/>
      <protection locked="0"/>
    </xf>
    <xf numFmtId="0" fontId="24" fillId="0" borderId="14" xfId="0" applyFont="1" applyBorder="1" applyAlignment="1">
      <alignment horizontal="left" vertical="top"/>
    </xf>
    <xf numFmtId="0" fontId="0" fillId="0" borderId="14" xfId="0" applyBorder="1"/>
    <xf numFmtId="0" fontId="30" fillId="18" borderId="14" xfId="4" applyBorder="1" applyAlignment="1" applyProtection="1">
      <alignment horizontal="left"/>
    </xf>
    <xf numFmtId="0" fontId="19" fillId="0" borderId="14" xfId="0" applyFont="1" applyBorder="1"/>
    <xf numFmtId="0" fontId="23" fillId="0" borderId="14" xfId="0" applyFont="1" applyBorder="1" applyAlignment="1">
      <alignment horizontal="left" wrapText="1"/>
    </xf>
    <xf numFmtId="14" fontId="23" fillId="0" borderId="14" xfId="0" applyNumberFormat="1" applyFont="1" applyBorder="1" applyAlignment="1">
      <alignment horizontal="left" wrapText="1"/>
    </xf>
    <xf numFmtId="0" fontId="45" fillId="0" borderId="14" xfId="0" applyFont="1" applyBorder="1" applyAlignment="1">
      <alignment vertical="top"/>
    </xf>
    <xf numFmtId="0" fontId="45" fillId="0" borderId="14" xfId="0" applyFont="1" applyBorder="1" applyAlignment="1" applyProtection="1">
      <alignment vertical="top"/>
      <protection locked="0"/>
    </xf>
    <xf numFmtId="0" fontId="17" fillId="12" borderId="14" xfId="1" applyFont="1" applyBorder="1" applyAlignment="1" applyProtection="1">
      <alignment vertical="top"/>
    </xf>
    <xf numFmtId="0" fontId="23" fillId="0" borderId="14" xfId="0" applyFont="1" applyBorder="1"/>
    <xf numFmtId="0" fontId="17" fillId="12" borderId="14" xfId="1" applyFont="1" applyBorder="1" applyAlignment="1" applyProtection="1"/>
    <xf numFmtId="0" fontId="19" fillId="0" borderId="14" xfId="0" applyFont="1" applyBorder="1" applyAlignment="1">
      <alignment horizontal="left" vertical="top" wrapText="1"/>
    </xf>
    <xf numFmtId="0" fontId="19" fillId="0" borderId="14" xfId="0" quotePrefix="1" applyFont="1" applyBorder="1" applyAlignment="1">
      <alignment vertical="top"/>
    </xf>
    <xf numFmtId="0" fontId="0" fillId="0" borderId="14" xfId="0" applyBorder="1" applyAlignment="1">
      <alignment vertical="top"/>
    </xf>
    <xf numFmtId="0" fontId="46" fillId="0" borderId="14" xfId="0" applyFont="1" applyBorder="1" applyAlignment="1">
      <alignment vertical="top" readingOrder="1"/>
    </xf>
    <xf numFmtId="0" fontId="31" fillId="32" borderId="0" xfId="6" applyAlignment="1">
      <alignment horizontal="left" vertical="top" wrapText="1"/>
    </xf>
    <xf numFmtId="0" fontId="31" fillId="32" borderId="0" xfId="6" applyAlignment="1" applyProtection="1">
      <alignment horizontal="left" vertical="top" wrapText="1"/>
      <protection locked="0"/>
    </xf>
    <xf numFmtId="0" fontId="31" fillId="32" borderId="10" xfId="6" applyBorder="1" applyAlignment="1" applyProtection="1">
      <alignment horizontal="left" vertical="top" wrapText="1"/>
      <protection locked="0"/>
    </xf>
    <xf numFmtId="0" fontId="18" fillId="31" borderId="0" xfId="5" applyAlignment="1">
      <alignment horizontal="left" vertical="top" wrapText="1"/>
    </xf>
    <xf numFmtId="0" fontId="0" fillId="32" borderId="0" xfId="6" applyFont="1" applyAlignment="1">
      <alignment horizontal="left" vertical="top" wrapText="1"/>
    </xf>
    <xf numFmtId="0" fontId="0" fillId="32" borderId="10" xfId="6" applyFont="1" applyBorder="1" applyAlignment="1" applyProtection="1">
      <alignment horizontal="left" vertical="top" wrapText="1"/>
      <protection locked="0"/>
    </xf>
    <xf numFmtId="0" fontId="23" fillId="0" borderId="0" xfId="0" applyFont="1" applyAlignment="1">
      <alignment vertical="top"/>
    </xf>
    <xf numFmtId="0" fontId="23" fillId="0" borderId="0" xfId="0" applyFont="1" applyAlignment="1">
      <alignment horizontal="left" vertical="top"/>
    </xf>
    <xf numFmtId="0" fontId="23" fillId="0" borderId="0" xfId="0" applyFont="1" applyAlignment="1">
      <alignment horizontal="left" vertical="top" wrapText="1"/>
    </xf>
    <xf numFmtId="14" fontId="23" fillId="0" borderId="0" xfId="0" applyNumberFormat="1" applyFont="1" applyAlignment="1">
      <alignment horizontal="left" vertical="top" wrapText="1"/>
    </xf>
    <xf numFmtId="0" fontId="17" fillId="12" borderId="0" xfId="1" applyFont="1" applyBorder="1" applyAlignment="1" applyProtection="1">
      <alignment vertical="top"/>
    </xf>
    <xf numFmtId="0" fontId="19" fillId="0" borderId="0" xfId="0" applyFont="1" applyAlignment="1" applyProtection="1">
      <alignment horizontal="left"/>
      <protection locked="0"/>
    </xf>
    <xf numFmtId="0" fontId="19" fillId="0" borderId="0" xfId="0" applyFont="1" applyAlignment="1" applyProtection="1">
      <alignment horizontal="left" vertical="center"/>
      <protection locked="0"/>
    </xf>
    <xf numFmtId="0" fontId="19" fillId="0" borderId="0" xfId="0" applyFont="1" applyAlignment="1" applyProtection="1">
      <alignment vertical="top"/>
      <protection locked="0"/>
    </xf>
    <xf numFmtId="0" fontId="43" fillId="3" borderId="5" xfId="0" applyFont="1" applyFill="1" applyBorder="1" applyAlignment="1" applyProtection="1">
      <alignment horizontal="left" vertical="top" wrapText="1"/>
      <protection locked="0"/>
    </xf>
    <xf numFmtId="0" fontId="29" fillId="17" borderId="0" xfId="3" applyAlignment="1">
      <alignment horizontal="left" vertical="top" wrapText="1"/>
    </xf>
    <xf numFmtId="0" fontId="29" fillId="17" borderId="5" xfId="3" applyBorder="1" applyAlignment="1" applyProtection="1">
      <alignment horizontal="left" vertical="top" wrapText="1"/>
      <protection locked="0"/>
    </xf>
    <xf numFmtId="0" fontId="29" fillId="17" borderId="15" xfId="3" applyBorder="1"/>
    <xf numFmtId="0" fontId="28" fillId="16" borderId="15" xfId="2" applyBorder="1"/>
    <xf numFmtId="0" fontId="50" fillId="16" borderId="15" xfId="2" applyFont="1" applyBorder="1"/>
    <xf numFmtId="0" fontId="1" fillId="33" borderId="15" xfId="7"/>
    <xf numFmtId="0" fontId="21" fillId="35" borderId="5" xfId="0" applyFont="1" applyFill="1" applyBorder="1" applyAlignment="1" applyProtection="1">
      <alignment horizontal="left" vertical="top" wrapText="1"/>
      <protection locked="0"/>
    </xf>
    <xf numFmtId="0" fontId="28" fillId="16" borderId="16" xfId="2" applyBorder="1"/>
    <xf numFmtId="0" fontId="27" fillId="9" borderId="9" xfId="0" applyFont="1" applyFill="1" applyBorder="1" applyAlignment="1">
      <alignment horizontal="left" wrapText="1"/>
    </xf>
    <xf numFmtId="0" fontId="26" fillId="10" borderId="0" xfId="0" applyFont="1" applyFill="1" applyAlignment="1">
      <alignment horizontal="left" wrapText="1"/>
    </xf>
    <xf numFmtId="0" fontId="26" fillId="14" borderId="9" xfId="0" applyFont="1" applyFill="1" applyBorder="1" applyAlignment="1">
      <alignment horizontal="left" wrapText="1"/>
    </xf>
    <xf numFmtId="0" fontId="26" fillId="34" borderId="9" xfId="0" applyFont="1" applyFill="1" applyBorder="1" applyAlignment="1">
      <alignment horizontal="left" wrapText="1"/>
    </xf>
    <xf numFmtId="0" fontId="44" fillId="9" borderId="0" xfId="0" applyFont="1" applyFill="1" applyAlignment="1">
      <alignment horizontal="left" vertical="top" wrapText="1"/>
    </xf>
    <xf numFmtId="0" fontId="44" fillId="25" borderId="0" xfId="0" applyFont="1" applyFill="1" applyAlignment="1">
      <alignment horizontal="left" vertical="top" wrapText="1"/>
    </xf>
    <xf numFmtId="0" fontId="18" fillId="31" borderId="0" xfId="5" applyAlignment="1">
      <alignment horizontal="left" vertical="top" wrapText="1"/>
    </xf>
    <xf numFmtId="0" fontId="26" fillId="14" borderId="9" xfId="0" applyFont="1" applyFill="1" applyBorder="1" applyAlignment="1">
      <alignment horizontal="left" vertical="top" wrapText="1"/>
    </xf>
    <xf numFmtId="0" fontId="0" fillId="20" borderId="0" xfId="0" applyFill="1" applyAlignment="1">
      <alignment horizontal="left" vertical="top" wrapText="1"/>
    </xf>
    <xf numFmtId="0" fontId="26" fillId="14" borderId="9" xfId="0" applyFont="1" applyFill="1" applyBorder="1" applyAlignment="1">
      <alignment horizontal="center" vertical="center"/>
    </xf>
    <xf numFmtId="0" fontId="18" fillId="20" borderId="0" xfId="0" applyFont="1" applyFill="1" applyAlignment="1">
      <alignment horizontal="center" vertical="center"/>
    </xf>
    <xf numFmtId="0" fontId="5" fillId="4" borderId="1" xfId="0" applyFont="1" applyFill="1" applyBorder="1" applyAlignment="1">
      <alignment vertical="center" wrapText="1"/>
    </xf>
    <xf numFmtId="0" fontId="9" fillId="4" borderId="1" xfId="0" applyFont="1" applyFill="1" applyBorder="1" applyAlignment="1">
      <alignment vertical="center" wrapText="1"/>
    </xf>
  </cellXfs>
  <cellStyles count="8">
    <cellStyle name="60% - Accent4" xfId="6" builtinId="44"/>
    <cellStyle name="Accent4" xfId="5" builtinId="41"/>
    <cellStyle name="Bad" xfId="3" builtinId="27"/>
    <cellStyle name="Calculation" xfId="1" builtinId="22"/>
    <cellStyle name="Check Cell" xfId="7" builtinId="23"/>
    <cellStyle name="Good" xfId="2" builtinId="26"/>
    <cellStyle name="Neutral" xfId="4" builtinId="28"/>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18771E3B-1099-4146-9068-A5DDF9881B49}"/>
  </tableStyles>
  <colors>
    <mruColors>
      <color rgb="FFCC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xmlMaps.xml><?xml version="1.0" encoding="utf-8"?>
<MapInfo xmlns="http://schemas.openxmlformats.org/spreadsheetml/2006/main" SelectionNamespaces="xmlns:ns1='http://schemas.xmlsoap.org/soap/envelope/' xmlns:ns2='uri:FlexForce' xmlns:ns3='http://schemas.xmlsoap.org/soap/encoding/'">
  <Schema ID="Schema1" Namespace="uri:FlexForce">
    <xsd:schema xmlns:xsd="http://www.w3.org/2001/XMLSchema" xmlns:ns0="uri:FlexForce" xmlns="" targetNamespace="uri:FlexForce">
      <xsd:import/>
      <xsd:element nillable="true" name="wsdlGetTimePunchesResponse">
        <xsd:complexType>
          <xsd:sequence minOccurs="0">
            <xsd:element minOccurs="0" ref="return"/>
          </xsd:sequence>
        </xsd:complexType>
      </xsd:element>
    </xsd:schema>
  </Schema>
  <Schema ID="Schema2" Namespace="http://schemas.xmlsoap.org/soap/encoding/">
    <xsd:schema xmlns:xsd="http://www.w3.org/2001/XMLSchema" xmlns:ns0="http://schemas.xmlsoap.org/soap/encoding/" xmlns="" targetNamespace="http://schemas.xmlsoap.org/soap/encoding/">
      <xsd:attribute name="arrayType" type="xsd:string"/>
    </xsd:schema>
  </Schema>
  <Schema ID="Schema3">
    <xsd:schema xmlns:xsd="http://www.w3.org/2001/XMLSchema" xmlns:ns0="http://schemas.xmlsoap.org/soap/encoding/" xmlns="">
      <xsd:import namespace="http://schemas.xmlsoap.org/soap/encoding/"/>
      <xsd:element nillable="true" name="return">
        <xsd:complexType>
          <xsd:sequence minOccurs="0">
            <xsd:element minOccurs="0" nillable="true" name="timepunches" form="unqualified">
              <xsd:complexType>
                <xsd:sequence minOccurs="0">
                  <xsd:element minOccurs="0" maxOccurs="unbounded" nillable="true" name="item" form="unqualified">
                    <xsd:complexType>
                      <xsd:all>
                        <xsd:element minOccurs="0" nillable="true" type="xsd:integer" name="id" form="unqualified"/>
                        <xsd:element minOccurs="0" nillable="true" type="xsd:string" name="employeeName" form="unqualified"/>
                        <xsd:element minOccurs="0" nillable="true" type="xsd:integer" name="restId" form="unqualified"/>
                        <xsd:element minOccurs="0" nillable="true" type="xsd:integer" name="badgeNo" form="unqualified"/>
                        <xsd:element minOccurs="0" nillable="true" type="xsd:string" name="socsecNo" form="unqualified"/>
                        <xsd:element minOccurs="0" nillable="true" type="xsd:integer" name="cardNo" form="unqualified"/>
                        <xsd:element minOccurs="0" nillable="true" type="xsd:dateTime" name="punchIn" form="unqualified"/>
                        <xsd:element minOccurs="0" nillable="true" type="xsd:dateTime" name="punchOut" form="unqualified"/>
                        <xsd:element minOccurs="0" nillable="true" type="xsd:dateTime" name="orgPunchIn" form="unqualified"/>
                        <xsd:element minOccurs="0" nillable="true" type="xsd:dateTime" name="orgPunchOut" form="unqualified"/>
                        <xsd:element minOccurs="0" nillable="true" type="xsd:double" name="hours" form="unqualified"/>
                        <xsd:element minOccurs="0" nillable="true" type="xsd:boolean" name="approvedByEmployee" form="unqualified"/>
                        <xsd:element minOccurs="0" nillable="true" type="xsd:boolean" name="approvedByManager" form="unqualified"/>
                        <xsd:element minOccurs="0" nillable="true" type="xsd:boolean" name="approvedByCustomer" form="unqualified"/>
                        <xsd:element minOccurs="0" nillable="true" type="xsd:string" name="costCentre" form="unqualified"/>
                        <xsd:element minOccurs="0" nillable="true" type="xsd:string" name="projectNo" form="unqualified"/>
                        <xsd:element minOccurs="0" nillable="true" type="xsd:string" name="accountNo" form="unqualified"/>
                        <xsd:element minOccurs="0" nillable="true" type="xsd:string" name="agrmntAdditionalField1" form="unqualified"/>
                        <xsd:element minOccurs="0" nillable="true" type="xsd:string" name="agrmntAdditionalField2" form="unqualified"/>
                        <xsd:element minOccurs="0" nillable="true" type="xsd:string" name="agrmntAdditionalField3" form="unqualified"/>
                        <xsd:element minOccurs="0" nillable="true" type="xsd:string" name="agrmntAdditionalField4" form="unqualified"/>
                        <xsd:element minOccurs="0" nillable="true" type="xsd:string" name="agrmntAdditionalField5" form="unqualified"/>
                        <xsd:element minOccurs="0" nillable="true" type="xsd:integer" name="scheduleId" form="unqualified"/>
                        <xsd:element minOccurs="0" nillable="true" type="xsd:boolean" name="transferredToPayroll" form="unqualified"/>
                        <xsd:element minOccurs="0" nillable="true" type="xsd:boolean" name="deleted" form="unqualified"/>
                        <xsd:element minOccurs="0" nillable="true" type="xsd:boolean" name="productiveTime" form="unqualified"/>
                        <xsd:element minOccurs="0" nillable="true" type="xsd:boolean" name="isOpen" form="unqualified"/>
                        <xsd:element minOccurs="0" nillable="true" type="xsd:string" name="comment" form="unqualified"/>
                        <xsd:element minOccurs="0" nillable="true" type="xsd:string" name="managerComment" form="unqualified"/>
                        <xsd:element minOccurs="0" nillable="true" type="xsd:integer" name="employeeId" form="unqualified"/>
                        <xsd:element minOccurs="0" nillable="true" type="xsd:integer" name="shiftCategoryId" form="unqualified"/>
                        <xsd:element minOccurs="0" nillable="true" type="xsd:string" name="extShiftCategoryId" form="unqualified"/>
                        <xsd:element minOccurs="0" nillable="true" type="xsd:string" name="shiftCategoryName" form="unqualified"/>
                        <xsd:element minOccurs="0" nillable="true" type="xsd:integer" name="subShiftReference" form="unqualified"/>
                        <xsd:element minOccurs="0" nillable="true" type="xsd:dateTime" name="ts" form="unqualified"/>
                      </xsd:all>
                    </xsd:complexType>
                  </xsd:element>
                </xsd:sequence>
                <xsd:attribute ref="ns0:arrayType"/>
              </xsd:complexType>
            </xsd:element>
            <xsd:element minOccurs="0" nillable="true" name="validationErrors" form="unqualified">
              <xsd:complexType>
                <xsd:attribute ref="ns0:arrayType"/>
              </xsd:complexType>
            </xsd:element>
          </xsd:sequence>
        </xsd:complexType>
      </xsd:element>
    </xsd:schema>
  </Schema>
  <Schema ID="Schema4" SchemaRef="Schema1 Schema2 Schema3" Namespace="http://schemas.xmlsoap.org/soap/envelope/">
    <xsd:schema xmlns:xsd="http://www.w3.org/2001/XMLSchema" xmlns:ns0="uri:FlexForce" xmlns:ns1="http://schemas.xmlsoap.org/soap/envelope/" xmlns="" targetNamespace="http://schemas.xmlsoap.org/soap/envelope/">
      <xsd:import namespace="uri:FlexForce"/>
      <xsd:element nillable="true" name="Envelope">
        <xsd:complexType>
          <xsd:sequence minOccurs="0">
            <xsd:element minOccurs="0" nillable="true" name="Body" form="qualified">
              <xsd:complexType>
                <xsd:sequence minOccurs="0">
                  <xsd:element minOccurs="0" ref="ns0:wsdlGetTimePunchesResponse"/>
                </xsd:sequence>
              </xsd:complexType>
            </xsd:element>
          </xsd:sequence>
          <xsd:attribute ref="ns1:encodingStyle"/>
        </xsd:complexType>
      </xsd:element>
      <xsd:attribute name="encodingStyle" type="xsd:anyURI"/>
    </xsd:schema>
  </Schema>
  <Map ID="1" Name="Envelope_Map" RootElement="Envelope" SchemaID="Schema4" ShowImportExportValidationErrors="false" AutoFit="true" Append="false" PreserveSortAFLayout="true" PreserveFormat="true">
    <DataBinding FileBinding="true" ConnectionID="1" DataBindingLoadMode="1"/>
  </Map>
</MapInfo>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xmlMaps" Target="xmlMap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22</xdr:col>
      <xdr:colOff>2128395</xdr:colOff>
      <xdr:row>0</xdr:row>
      <xdr:rowOff>191464</xdr:rowOff>
    </xdr:from>
    <xdr:to>
      <xdr:col>23</xdr:col>
      <xdr:colOff>183215</xdr:colOff>
      <xdr:row>0</xdr:row>
      <xdr:rowOff>579791</xdr:rowOff>
    </xdr:to>
    <xdr:sp macro="" textlink="">
      <xdr:nvSpPr>
        <xdr:cNvPr id="2" name="Arrow: Down 1">
          <a:extLst>
            <a:ext uri="{FF2B5EF4-FFF2-40B4-BE49-F238E27FC236}">
              <a16:creationId xmlns:a16="http://schemas.microsoft.com/office/drawing/2014/main" id="{78DF3A77-37F8-4B83-B559-9D5055BEBECD}"/>
            </a:ext>
          </a:extLst>
        </xdr:cNvPr>
        <xdr:cNvSpPr/>
      </xdr:nvSpPr>
      <xdr:spPr>
        <a:xfrm>
          <a:off x="57455330" y="191464"/>
          <a:ext cx="512885" cy="388327"/>
        </a:xfrm>
        <a:prstGeom prst="downArrow">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endParaRPr lang="sv-S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19</xdr:col>
      <xdr:colOff>1150327</xdr:colOff>
      <xdr:row>0</xdr:row>
      <xdr:rowOff>73269</xdr:rowOff>
    </xdr:from>
    <xdr:to>
      <xdr:col>19</xdr:col>
      <xdr:colOff>1663212</xdr:colOff>
      <xdr:row>0</xdr:row>
      <xdr:rowOff>461596</xdr:rowOff>
    </xdr:to>
    <xdr:sp macro="" textlink="">
      <xdr:nvSpPr>
        <xdr:cNvPr id="2" name="Arrow: Down 1">
          <a:extLst>
            <a:ext uri="{FF2B5EF4-FFF2-40B4-BE49-F238E27FC236}">
              <a16:creationId xmlns:a16="http://schemas.microsoft.com/office/drawing/2014/main" id="{F89276A6-B450-479A-BD6D-03A650E2D62D}"/>
            </a:ext>
          </a:extLst>
        </xdr:cNvPr>
        <xdr:cNvSpPr/>
      </xdr:nvSpPr>
      <xdr:spPr>
        <a:xfrm>
          <a:off x="24838269" y="73269"/>
          <a:ext cx="512885" cy="388327"/>
        </a:xfrm>
        <a:prstGeom prst="downArrow">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endParaRPr lang="sv-SE" sz="1100"/>
        </a:p>
      </xdr:txBody>
    </xdr:sp>
    <xdr:clientData/>
  </xdr:twoCellAnchor>
  <xdr:twoCellAnchor>
    <xdr:from>
      <xdr:col>18</xdr:col>
      <xdr:colOff>593480</xdr:colOff>
      <xdr:row>29</xdr:row>
      <xdr:rowOff>109904</xdr:rowOff>
    </xdr:from>
    <xdr:to>
      <xdr:col>18</xdr:col>
      <xdr:colOff>1106365</xdr:colOff>
      <xdr:row>31</xdr:row>
      <xdr:rowOff>117231</xdr:rowOff>
    </xdr:to>
    <xdr:sp macro="" textlink="">
      <xdr:nvSpPr>
        <xdr:cNvPr id="3" name="Arrow: Down 2">
          <a:extLst>
            <a:ext uri="{FF2B5EF4-FFF2-40B4-BE49-F238E27FC236}">
              <a16:creationId xmlns:a16="http://schemas.microsoft.com/office/drawing/2014/main" id="{E23CDE8F-FDF9-49A1-8668-18D59C266546}"/>
            </a:ext>
          </a:extLst>
        </xdr:cNvPr>
        <xdr:cNvSpPr/>
      </xdr:nvSpPr>
      <xdr:spPr>
        <a:xfrm rot="10800000">
          <a:off x="23687942" y="5942135"/>
          <a:ext cx="512885" cy="388327"/>
        </a:xfrm>
        <a:prstGeom prst="downArrow">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endParaRPr lang="sv-SE" sz="1100"/>
        </a:p>
      </xdr:txBody>
    </xdr:sp>
    <xdr:clientData/>
  </xdr:twoCellAnchor>
  <xdr:twoCellAnchor>
    <xdr:from>
      <xdr:col>18</xdr:col>
      <xdr:colOff>65941</xdr:colOff>
      <xdr:row>31</xdr:row>
      <xdr:rowOff>124558</xdr:rowOff>
    </xdr:from>
    <xdr:to>
      <xdr:col>18</xdr:col>
      <xdr:colOff>1787768</xdr:colOff>
      <xdr:row>36</xdr:row>
      <xdr:rowOff>139211</xdr:rowOff>
    </xdr:to>
    <xdr:sp macro="" textlink="">
      <xdr:nvSpPr>
        <xdr:cNvPr id="4" name="Rectangle 3">
          <a:extLst>
            <a:ext uri="{FF2B5EF4-FFF2-40B4-BE49-F238E27FC236}">
              <a16:creationId xmlns:a16="http://schemas.microsoft.com/office/drawing/2014/main" id="{6CC6D9EF-7287-46C3-9334-C631996CD459}"/>
            </a:ext>
          </a:extLst>
        </xdr:cNvPr>
        <xdr:cNvSpPr/>
      </xdr:nvSpPr>
      <xdr:spPr>
        <a:xfrm>
          <a:off x="23160403" y="6337789"/>
          <a:ext cx="1721827" cy="967153"/>
        </a:xfrm>
        <a:prstGeom prst="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lang="sv-SE" sz="1100"/>
            <a:t>Uncertain where these highlighted in yellow</a:t>
          </a:r>
          <a:r>
            <a:rPr lang="sv-SE" sz="1100" baseline="0"/>
            <a:t> shall belong. TimePunch? CustomerPlaningDoc?</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281940</xdr:colOff>
      <xdr:row>58</xdr:row>
      <xdr:rowOff>638176</xdr:rowOff>
    </xdr:from>
    <xdr:to>
      <xdr:col>13</xdr:col>
      <xdr:colOff>401956</xdr:colOff>
      <xdr:row>62</xdr:row>
      <xdr:rowOff>601793</xdr:rowOff>
    </xdr:to>
    <xdr:pic>
      <xdr:nvPicPr>
        <xdr:cNvPr id="2" name="image2.png">
          <a:extLst>
            <a:ext uri="{FF2B5EF4-FFF2-40B4-BE49-F238E27FC236}">
              <a16:creationId xmlns:a16="http://schemas.microsoft.com/office/drawing/2014/main" id="{67BF8A5F-F024-4500-96F1-FD37B6E52B5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121515" y="22621876"/>
          <a:ext cx="3168016" cy="11923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Tanjas vy" id="{7DD8BBE2-7DBE-4680-B3DB-87240A87F137}"/>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Tanjas vy" id="{4F355682-F523-41B9-91C4-76A8720EBFE3}"/>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9/04/relationships/namedSheetView" Target="../namedSheetViews/namedSheetView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727041-A49D-41B4-8A72-18D91E2821B5}">
  <dimension ref="A1:T171"/>
  <sheetViews>
    <sheetView tabSelected="1" zoomScale="82" zoomScaleNormal="85" workbookViewId="0">
      <pane xSplit="5" ySplit="3" topLeftCell="N78" activePane="bottomRight" state="frozen"/>
      <selection pane="topRight" activeCell="F1" sqref="F1"/>
      <selection pane="bottomLeft" activeCell="A26" sqref="A26"/>
      <selection pane="bottomRight" activeCell="A86" sqref="A86:XFD86"/>
    </sheetView>
  </sheetViews>
  <sheetFormatPr defaultColWidth="8.42578125" defaultRowHeight="15" outlineLevelCol="1" x14ac:dyDescent="0.25"/>
  <cols>
    <col min="1" max="1" width="14" customWidth="1"/>
    <col min="2" max="2" width="17.42578125" style="151" customWidth="1"/>
    <col min="3" max="3" width="20.5703125" style="151" customWidth="1"/>
    <col min="4" max="4" width="19.42578125" style="151" customWidth="1"/>
    <col min="5" max="5" width="42.42578125" style="151" customWidth="1" outlineLevel="1"/>
    <col min="6" max="6" width="18.42578125" style="151" customWidth="1" outlineLevel="1"/>
    <col min="7" max="7" width="31.42578125" style="151" customWidth="1" outlineLevel="1"/>
    <col min="8" max="8" width="28" style="151" customWidth="1"/>
    <col min="9" max="9" width="42.42578125" style="151" customWidth="1"/>
    <col min="10" max="10" width="33" style="232" hidden="1" customWidth="1"/>
    <col min="11" max="11" width="19.42578125" style="151" customWidth="1"/>
    <col min="12" max="12" width="22.5703125" style="151" customWidth="1" outlineLevel="1"/>
    <col min="13" max="13" width="14.85546875" style="151" customWidth="1" outlineLevel="1"/>
    <col min="14" max="14" width="20" style="151" customWidth="1" outlineLevel="1"/>
    <col min="15" max="15" width="33.85546875" style="151" customWidth="1"/>
    <col min="16" max="16" width="40.5703125" style="151" customWidth="1" collapsed="1"/>
    <col min="17" max="17" width="14.85546875" style="151" customWidth="1" outlineLevel="1"/>
    <col min="18" max="18" width="20" style="151" customWidth="1" outlineLevel="1"/>
    <col min="19" max="19" width="33.85546875" style="151" customWidth="1"/>
    <col min="20" max="16384" width="8.42578125" style="130"/>
  </cols>
  <sheetData>
    <row r="1" spans="1:19" s="154" customFormat="1" ht="22.5" customHeight="1" x14ac:dyDescent="0.25">
      <c r="A1"/>
      <c r="J1" s="232"/>
    </row>
    <row r="2" spans="1:19" s="166" customFormat="1" ht="63.75" customHeight="1" x14ac:dyDescent="0.25">
      <c r="A2"/>
      <c r="B2" s="240" t="s">
        <v>1742</v>
      </c>
      <c r="C2" s="240"/>
      <c r="D2" s="240"/>
      <c r="E2" s="240"/>
      <c r="F2" s="240"/>
      <c r="G2" s="240"/>
      <c r="H2" s="241" t="s">
        <v>1737</v>
      </c>
      <c r="I2" s="241"/>
      <c r="J2" s="241"/>
      <c r="K2" s="241"/>
      <c r="L2" s="241"/>
      <c r="M2" s="242" t="s">
        <v>1738</v>
      </c>
      <c r="N2" s="242"/>
      <c r="O2" s="242"/>
      <c r="P2" s="242"/>
      <c r="Q2" s="243" t="s">
        <v>1827</v>
      </c>
      <c r="R2" s="243"/>
      <c r="S2" s="243"/>
    </row>
    <row r="3" spans="1:19" s="148" customFormat="1" ht="46.5" customHeight="1" thickBot="1" x14ac:dyDescent="0.3">
      <c r="A3"/>
      <c r="B3" s="168" t="s">
        <v>944</v>
      </c>
      <c r="C3" s="168" t="s">
        <v>602</v>
      </c>
      <c r="D3" s="168" t="s">
        <v>943</v>
      </c>
      <c r="E3" s="168" t="s">
        <v>598</v>
      </c>
      <c r="F3" s="168" t="s">
        <v>599</v>
      </c>
      <c r="G3" s="231" t="s">
        <v>600</v>
      </c>
      <c r="H3" s="169" t="s">
        <v>1739</v>
      </c>
      <c r="I3" s="169" t="s">
        <v>1740</v>
      </c>
      <c r="J3" s="233" t="s">
        <v>941</v>
      </c>
      <c r="K3" s="169" t="s">
        <v>1741</v>
      </c>
      <c r="L3" s="169" t="s">
        <v>596</v>
      </c>
      <c r="M3" s="142" t="s">
        <v>1810</v>
      </c>
      <c r="N3" s="142" t="s">
        <v>1808</v>
      </c>
      <c r="O3" s="142" t="s">
        <v>1809</v>
      </c>
      <c r="P3" s="142" t="s">
        <v>1814</v>
      </c>
      <c r="Q3" s="238" t="s">
        <v>1810</v>
      </c>
      <c r="R3" s="238" t="s">
        <v>1808</v>
      </c>
      <c r="S3" s="238" t="s">
        <v>1809</v>
      </c>
    </row>
    <row r="4" spans="1:19" customFormat="1" ht="16.5" thickTop="1" thickBot="1" x14ac:dyDescent="0.3">
      <c r="B4" s="104" t="s">
        <v>652</v>
      </c>
      <c r="C4" s="104" t="s">
        <v>507</v>
      </c>
      <c r="D4" s="104" t="s">
        <v>909</v>
      </c>
      <c r="E4" s="104" t="s">
        <v>357</v>
      </c>
      <c r="F4" s="104"/>
      <c r="G4" s="104"/>
      <c r="H4" s="104" t="s">
        <v>1759</v>
      </c>
      <c r="I4" s="104" t="s">
        <v>629</v>
      </c>
      <c r="J4" s="104" t="s">
        <v>357</v>
      </c>
      <c r="K4" s="104"/>
      <c r="L4" s="104"/>
      <c r="M4" s="235" t="s">
        <v>1812</v>
      </c>
      <c r="N4" s="235" t="s">
        <v>1759</v>
      </c>
      <c r="O4" s="235" t="s">
        <v>629</v>
      </c>
      <c r="P4" s="235"/>
      <c r="Q4" s="235" t="s">
        <v>1812</v>
      </c>
      <c r="R4" s="235" t="s">
        <v>1759</v>
      </c>
      <c r="S4" s="235" t="s">
        <v>629</v>
      </c>
    </row>
    <row r="5" spans="1:19" customFormat="1" ht="15" customHeight="1" thickTop="1" thickBot="1" x14ac:dyDescent="0.3">
      <c r="B5" s="104" t="s">
        <v>652</v>
      </c>
      <c r="C5" s="104" t="s">
        <v>507</v>
      </c>
      <c r="D5" s="104" t="s">
        <v>909</v>
      </c>
      <c r="E5" s="104" t="s">
        <v>358</v>
      </c>
      <c r="F5" s="104"/>
      <c r="G5" s="104"/>
      <c r="H5" s="104" t="s">
        <v>1759</v>
      </c>
      <c r="I5" s="104" t="s">
        <v>630</v>
      </c>
      <c r="J5" s="104" t="s">
        <v>357</v>
      </c>
      <c r="K5" s="104"/>
      <c r="L5" s="104"/>
      <c r="M5" s="235" t="s">
        <v>1812</v>
      </c>
      <c r="N5" s="235" t="s">
        <v>1759</v>
      </c>
      <c r="O5" s="235" t="s">
        <v>630</v>
      </c>
      <c r="P5" s="235"/>
      <c r="Q5" s="235" t="s">
        <v>1812</v>
      </c>
      <c r="R5" s="235" t="s">
        <v>1759</v>
      </c>
      <c r="S5" s="235" t="s">
        <v>630</v>
      </c>
    </row>
    <row r="6" spans="1:19" customFormat="1" ht="16.5" thickTop="1" thickBot="1" x14ac:dyDescent="0.3">
      <c r="B6" s="104" t="s">
        <v>652</v>
      </c>
      <c r="C6" s="104" t="s">
        <v>507</v>
      </c>
      <c r="D6" s="104" t="s">
        <v>909</v>
      </c>
      <c r="E6" s="104" t="s">
        <v>676</v>
      </c>
      <c r="F6" s="104"/>
      <c r="G6" s="104" t="s">
        <v>677</v>
      </c>
      <c r="H6" s="104" t="s">
        <v>1770</v>
      </c>
      <c r="I6" s="104" t="s">
        <v>46</v>
      </c>
      <c r="J6" s="104" t="s">
        <v>699</v>
      </c>
      <c r="K6" s="104"/>
      <c r="L6" s="104" t="s">
        <v>701</v>
      </c>
      <c r="M6" s="235" t="s">
        <v>1812</v>
      </c>
      <c r="N6" s="235" t="s">
        <v>1770</v>
      </c>
      <c r="O6" s="235" t="s">
        <v>1826</v>
      </c>
      <c r="P6" s="235"/>
      <c r="Q6" s="235" t="s">
        <v>1812</v>
      </c>
      <c r="R6" s="235" t="s">
        <v>1770</v>
      </c>
      <c r="S6" s="235" t="s">
        <v>1826</v>
      </c>
    </row>
    <row r="7" spans="1:19" customFormat="1" ht="16.5" thickTop="1" thickBot="1" x14ac:dyDescent="0.3">
      <c r="B7" s="104" t="s">
        <v>652</v>
      </c>
      <c r="C7" s="104" t="s">
        <v>507</v>
      </c>
      <c r="D7" s="104" t="s">
        <v>909</v>
      </c>
      <c r="E7" s="104" t="s">
        <v>675</v>
      </c>
      <c r="F7" s="104"/>
      <c r="G7" s="104" t="s">
        <v>677</v>
      </c>
      <c r="H7" s="104" t="s">
        <v>1770</v>
      </c>
      <c r="I7" s="104" t="s">
        <v>697</v>
      </c>
      <c r="J7" s="104" t="s">
        <v>698</v>
      </c>
      <c r="K7" s="104"/>
      <c r="L7" s="104" t="s">
        <v>700</v>
      </c>
      <c r="M7" s="235" t="s">
        <v>1812</v>
      </c>
      <c r="N7" s="235" t="s">
        <v>1770</v>
      </c>
      <c r="O7" s="235" t="s">
        <v>697</v>
      </c>
      <c r="P7" s="235"/>
      <c r="Q7" s="235" t="s">
        <v>1812</v>
      </c>
      <c r="R7" s="235" t="s">
        <v>1770</v>
      </c>
      <c r="S7" s="235" t="s">
        <v>697</v>
      </c>
    </row>
    <row r="8" spans="1:19" customFormat="1" ht="16.5" thickTop="1" thickBot="1" x14ac:dyDescent="0.3">
      <c r="B8" s="104" t="s">
        <v>652</v>
      </c>
      <c r="C8" s="104" t="s">
        <v>507</v>
      </c>
      <c r="D8" s="104" t="s">
        <v>909</v>
      </c>
      <c r="E8" s="104" t="s">
        <v>365</v>
      </c>
      <c r="F8" s="104"/>
      <c r="G8" s="104"/>
      <c r="H8" s="104" t="s">
        <v>909</v>
      </c>
      <c r="I8" s="104" t="s">
        <v>636</v>
      </c>
      <c r="J8" s="104" t="s">
        <v>678</v>
      </c>
      <c r="K8" s="104" t="s">
        <v>56</v>
      </c>
      <c r="L8" s="104" t="s">
        <v>674</v>
      </c>
      <c r="M8" s="235" t="s">
        <v>1812</v>
      </c>
      <c r="N8" s="235" t="s">
        <v>909</v>
      </c>
      <c r="O8" s="235" t="s">
        <v>636</v>
      </c>
      <c r="P8" s="235"/>
      <c r="Q8" s="235" t="s">
        <v>1812</v>
      </c>
      <c r="R8" s="235" t="s">
        <v>909</v>
      </c>
      <c r="S8" s="235" t="s">
        <v>636</v>
      </c>
    </row>
    <row r="9" spans="1:19" customFormat="1" ht="16.5" thickTop="1" thickBot="1" x14ac:dyDescent="0.3">
      <c r="B9" s="104" t="s">
        <v>652</v>
      </c>
      <c r="C9" s="104" t="s">
        <v>507</v>
      </c>
      <c r="D9" s="104" t="s">
        <v>909</v>
      </c>
      <c r="E9" s="104" t="s">
        <v>366</v>
      </c>
      <c r="F9" s="104"/>
      <c r="G9" s="104"/>
      <c r="H9" s="104" t="s">
        <v>909</v>
      </c>
      <c r="I9" s="104" t="s">
        <v>637</v>
      </c>
      <c r="J9" s="104" t="s">
        <v>679</v>
      </c>
      <c r="K9" s="104" t="s">
        <v>56</v>
      </c>
      <c r="L9" s="104" t="s">
        <v>673</v>
      </c>
      <c r="M9" s="235" t="s">
        <v>1812</v>
      </c>
      <c r="N9" s="235" t="s">
        <v>909</v>
      </c>
      <c r="O9" s="235" t="s">
        <v>637</v>
      </c>
      <c r="P9" s="235"/>
      <c r="Q9" s="235" t="s">
        <v>1812</v>
      </c>
      <c r="R9" s="235" t="s">
        <v>909</v>
      </c>
      <c r="S9" s="235" t="s">
        <v>637</v>
      </c>
    </row>
    <row r="10" spans="1:19" customFormat="1" ht="16.5" thickTop="1" thickBot="1" x14ac:dyDescent="0.3">
      <c r="B10" s="104" t="s">
        <v>652</v>
      </c>
      <c r="C10" s="104" t="s">
        <v>507</v>
      </c>
      <c r="D10" s="104" t="s">
        <v>909</v>
      </c>
      <c r="E10" s="104" t="s">
        <v>675</v>
      </c>
      <c r="F10" s="104"/>
      <c r="G10" s="104" t="s">
        <v>677</v>
      </c>
      <c r="H10" s="104" t="s">
        <v>909</v>
      </c>
      <c r="I10" s="104" t="s">
        <v>697</v>
      </c>
      <c r="J10" s="104" t="s">
        <v>698</v>
      </c>
      <c r="K10" s="104"/>
      <c r="L10" s="104" t="s">
        <v>700</v>
      </c>
      <c r="M10" s="235" t="s">
        <v>1812</v>
      </c>
      <c r="N10" s="235" t="s">
        <v>909</v>
      </c>
      <c r="O10" s="235" t="s">
        <v>1815</v>
      </c>
      <c r="P10" s="235"/>
      <c r="Q10" s="235" t="s">
        <v>1812</v>
      </c>
      <c r="R10" s="235" t="s">
        <v>909</v>
      </c>
      <c r="S10" s="235" t="s">
        <v>1815</v>
      </c>
    </row>
    <row r="11" spans="1:19" customFormat="1" ht="16.5" thickTop="1" thickBot="1" x14ac:dyDescent="0.3">
      <c r="B11" s="104" t="s">
        <v>601</v>
      </c>
      <c r="C11" s="104" t="s">
        <v>507</v>
      </c>
      <c r="D11" s="104" t="s">
        <v>39</v>
      </c>
      <c r="E11" s="104" t="s">
        <v>57</v>
      </c>
      <c r="F11" s="104" t="s">
        <v>157</v>
      </c>
      <c r="G11" s="104">
        <v>67891</v>
      </c>
      <c r="H11" s="104" t="s">
        <v>909</v>
      </c>
      <c r="I11" s="104" t="s">
        <v>1747</v>
      </c>
      <c r="J11" s="104" t="s">
        <v>332</v>
      </c>
      <c r="K11" s="104" t="s">
        <v>44</v>
      </c>
      <c r="L11" s="104" t="s">
        <v>425</v>
      </c>
      <c r="M11" s="235" t="s">
        <v>1812</v>
      </c>
      <c r="N11" s="235" t="s">
        <v>909</v>
      </c>
      <c r="O11" s="235" t="s">
        <v>1747</v>
      </c>
      <c r="P11" s="235"/>
      <c r="Q11" s="235" t="s">
        <v>1812</v>
      </c>
      <c r="R11" s="235" t="s">
        <v>909</v>
      </c>
      <c r="S11" s="235" t="s">
        <v>1747</v>
      </c>
    </row>
    <row r="12" spans="1:19" customFormat="1" ht="16.5" thickTop="1" thickBot="1" x14ac:dyDescent="0.3">
      <c r="B12" s="104" t="s">
        <v>601</v>
      </c>
      <c r="C12" s="104" t="s">
        <v>507</v>
      </c>
      <c r="D12" s="104" t="s">
        <v>39</v>
      </c>
      <c r="E12" s="104" t="s">
        <v>63</v>
      </c>
      <c r="F12" s="104" t="s">
        <v>45</v>
      </c>
      <c r="G12" s="104"/>
      <c r="H12" s="104" t="s">
        <v>909</v>
      </c>
      <c r="I12" s="104" t="s">
        <v>669</v>
      </c>
      <c r="J12" s="104" t="s">
        <v>668</v>
      </c>
      <c r="K12" s="104" t="s">
        <v>45</v>
      </c>
      <c r="L12" s="104" t="s">
        <v>370</v>
      </c>
      <c r="M12" s="236" t="s">
        <v>1812</v>
      </c>
      <c r="N12" s="236" t="s">
        <v>909</v>
      </c>
      <c r="O12" s="236" t="s">
        <v>669</v>
      </c>
      <c r="P12" s="235"/>
      <c r="Q12" s="235" t="s">
        <v>1812</v>
      </c>
      <c r="R12" s="235" t="s">
        <v>909</v>
      </c>
      <c r="S12" s="235" t="s">
        <v>669</v>
      </c>
    </row>
    <row r="13" spans="1:19" customFormat="1" ht="16.5" thickTop="1" thickBot="1" x14ac:dyDescent="0.3">
      <c r="B13" s="104" t="s">
        <v>652</v>
      </c>
      <c r="C13" s="104" t="s">
        <v>507</v>
      </c>
      <c r="D13" s="104" t="s">
        <v>909</v>
      </c>
      <c r="E13" s="104" t="s">
        <v>248</v>
      </c>
      <c r="F13" s="104"/>
      <c r="G13" s="104"/>
      <c r="H13" s="104" t="s">
        <v>909</v>
      </c>
      <c r="I13" s="104" t="s">
        <v>669</v>
      </c>
      <c r="J13" s="104" t="s">
        <v>668</v>
      </c>
      <c r="K13" s="104" t="s">
        <v>45</v>
      </c>
      <c r="L13" s="104" t="s">
        <v>369</v>
      </c>
      <c r="M13" s="236" t="s">
        <v>1812</v>
      </c>
      <c r="N13" s="236" t="s">
        <v>909</v>
      </c>
      <c r="O13" s="236" t="s">
        <v>669</v>
      </c>
      <c r="P13" s="235"/>
      <c r="Q13" s="235" t="s">
        <v>1812</v>
      </c>
      <c r="R13" s="235" t="s">
        <v>909</v>
      </c>
      <c r="S13" s="235" t="s">
        <v>669</v>
      </c>
    </row>
    <row r="14" spans="1:19" customFormat="1" ht="16.5" thickTop="1" thickBot="1" x14ac:dyDescent="0.3">
      <c r="B14" s="104" t="s">
        <v>601</v>
      </c>
      <c r="C14" s="104" t="s">
        <v>507</v>
      </c>
      <c r="D14" s="104" t="s">
        <v>39</v>
      </c>
      <c r="E14" s="104" t="s">
        <v>83</v>
      </c>
      <c r="F14" s="104" t="s">
        <v>49</v>
      </c>
      <c r="G14" s="104" t="s">
        <v>50</v>
      </c>
      <c r="H14" s="104" t="s">
        <v>909</v>
      </c>
      <c r="I14" s="104" t="s">
        <v>745</v>
      </c>
      <c r="J14" s="104" t="s">
        <v>746</v>
      </c>
      <c r="K14" s="104" t="s">
        <v>56</v>
      </c>
      <c r="L14" s="104" t="s">
        <v>747</v>
      </c>
      <c r="M14" s="235" t="s">
        <v>1812</v>
      </c>
      <c r="N14" s="235" t="s">
        <v>909</v>
      </c>
      <c r="O14" s="235" t="s">
        <v>745</v>
      </c>
      <c r="P14" s="235"/>
      <c r="Q14" s="235" t="s">
        <v>1812</v>
      </c>
      <c r="R14" s="235" t="s">
        <v>909</v>
      </c>
      <c r="S14" s="235" t="s">
        <v>745</v>
      </c>
    </row>
    <row r="15" spans="1:19" customFormat="1" ht="16.5" thickTop="1" thickBot="1" x14ac:dyDescent="0.3">
      <c r="B15" s="104" t="s">
        <v>652</v>
      </c>
      <c r="C15" s="104" t="s">
        <v>507</v>
      </c>
      <c r="D15" s="104" t="s">
        <v>909</v>
      </c>
      <c r="E15" s="104" t="s">
        <v>352</v>
      </c>
      <c r="F15" s="104"/>
      <c r="G15" s="104"/>
      <c r="H15" s="104" t="s">
        <v>909</v>
      </c>
      <c r="I15" s="104" t="s">
        <v>631</v>
      </c>
      <c r="J15" s="104" t="s">
        <v>248</v>
      </c>
      <c r="K15" s="104"/>
      <c r="L15" s="104"/>
      <c r="M15" s="235" t="s">
        <v>1812</v>
      </c>
      <c r="N15" s="235" t="s">
        <v>909</v>
      </c>
      <c r="O15" s="235" t="s">
        <v>1028</v>
      </c>
      <c r="P15" s="235"/>
      <c r="Q15" s="235" t="s">
        <v>1812</v>
      </c>
      <c r="R15" s="235" t="s">
        <v>909</v>
      </c>
      <c r="S15" s="235" t="s">
        <v>1028</v>
      </c>
    </row>
    <row r="16" spans="1:19" customFormat="1" ht="16.5" thickTop="1" thickBot="1" x14ac:dyDescent="0.3">
      <c r="B16" s="104" t="s">
        <v>652</v>
      </c>
      <c r="C16" s="104" t="s">
        <v>507</v>
      </c>
      <c r="D16" s="104" t="s">
        <v>909</v>
      </c>
      <c r="E16" s="104" t="s">
        <v>363</v>
      </c>
      <c r="F16" s="104"/>
      <c r="G16" s="104"/>
      <c r="H16" s="104" t="s">
        <v>909</v>
      </c>
      <c r="I16" s="104" t="s">
        <v>1765</v>
      </c>
      <c r="J16" s="104" t="s">
        <v>647</v>
      </c>
      <c r="K16" s="104"/>
      <c r="L16" s="104" t="s">
        <v>645</v>
      </c>
      <c r="M16" s="235" t="s">
        <v>1812</v>
      </c>
      <c r="N16" s="235" t="s">
        <v>909</v>
      </c>
      <c r="O16" s="235" t="s">
        <v>1765</v>
      </c>
      <c r="P16" s="235"/>
      <c r="Q16" s="235" t="s">
        <v>1812</v>
      </c>
      <c r="R16" s="235" t="s">
        <v>909</v>
      </c>
      <c r="S16" s="235" t="s">
        <v>1765</v>
      </c>
    </row>
    <row r="17" spans="2:20" customFormat="1" ht="16.5" thickTop="1" thickBot="1" x14ac:dyDescent="0.3">
      <c r="B17" s="104" t="s">
        <v>652</v>
      </c>
      <c r="C17" s="104" t="s">
        <v>507</v>
      </c>
      <c r="D17" s="104" t="s">
        <v>909</v>
      </c>
      <c r="E17" s="104" t="s">
        <v>361</v>
      </c>
      <c r="F17" s="104"/>
      <c r="G17" s="104"/>
      <c r="H17" s="104" t="s">
        <v>909</v>
      </c>
      <c r="I17" s="104" t="s">
        <v>1767</v>
      </c>
      <c r="J17" s="104" t="s">
        <v>361</v>
      </c>
      <c r="K17" s="104"/>
      <c r="L17" s="104"/>
      <c r="M17" s="235" t="s">
        <v>1812</v>
      </c>
      <c r="N17" s="235" t="s">
        <v>909</v>
      </c>
      <c r="O17" s="235" t="s">
        <v>1767</v>
      </c>
      <c r="P17" s="235"/>
      <c r="Q17" s="235" t="s">
        <v>1812</v>
      </c>
      <c r="R17" s="235" t="s">
        <v>909</v>
      </c>
      <c r="S17" s="235" t="s">
        <v>1767</v>
      </c>
    </row>
    <row r="18" spans="2:20" customFormat="1" ht="16.5" thickTop="1" thickBot="1" x14ac:dyDescent="0.3">
      <c r="B18" s="104" t="s">
        <v>652</v>
      </c>
      <c r="C18" s="104" t="s">
        <v>507</v>
      </c>
      <c r="D18" s="104" t="s">
        <v>909</v>
      </c>
      <c r="E18" s="104" t="s">
        <v>355</v>
      </c>
      <c r="F18" s="104"/>
      <c r="G18" s="104"/>
      <c r="H18" s="104" t="s">
        <v>909</v>
      </c>
      <c r="I18" s="104" t="s">
        <v>1764</v>
      </c>
      <c r="J18" s="104" t="s">
        <v>355</v>
      </c>
      <c r="K18" s="104"/>
      <c r="L18" s="104"/>
      <c r="M18" s="236" t="s">
        <v>1812</v>
      </c>
      <c r="N18" s="236" t="s">
        <v>909</v>
      </c>
      <c r="O18" s="236" t="s">
        <v>1764</v>
      </c>
      <c r="P18" s="235"/>
      <c r="Q18" s="235" t="s">
        <v>1812</v>
      </c>
      <c r="R18" s="235" t="s">
        <v>909</v>
      </c>
      <c r="S18" s="235" t="s">
        <v>1764</v>
      </c>
    </row>
    <row r="19" spans="2:20" customFormat="1" ht="16.5" thickTop="1" thickBot="1" x14ac:dyDescent="0.3">
      <c r="B19" s="104" t="s">
        <v>601</v>
      </c>
      <c r="C19" s="104" t="s">
        <v>507</v>
      </c>
      <c r="D19" s="104" t="s">
        <v>39</v>
      </c>
      <c r="E19" s="104" t="s">
        <v>111</v>
      </c>
      <c r="F19" s="104" t="s">
        <v>661</v>
      </c>
      <c r="G19" s="104"/>
      <c r="H19" s="104" t="s">
        <v>909</v>
      </c>
      <c r="I19" s="104" t="s">
        <v>576</v>
      </c>
      <c r="J19" s="104" t="s">
        <v>332</v>
      </c>
      <c r="K19" s="104" t="s">
        <v>56</v>
      </c>
      <c r="L19" s="104" t="s">
        <v>589</v>
      </c>
      <c r="M19" s="235" t="s">
        <v>1812</v>
      </c>
      <c r="N19" s="235" t="s">
        <v>909</v>
      </c>
      <c r="O19" s="235" t="s">
        <v>576</v>
      </c>
      <c r="P19" s="235"/>
      <c r="Q19" s="235" t="s">
        <v>1812</v>
      </c>
      <c r="R19" s="235" t="s">
        <v>909</v>
      </c>
      <c r="S19" s="235" t="s">
        <v>576</v>
      </c>
      <c r="T19" s="239" t="s">
        <v>1828</v>
      </c>
    </row>
    <row r="20" spans="2:20" customFormat="1" ht="16.5" thickTop="1" thickBot="1" x14ac:dyDescent="0.3">
      <c r="B20" s="104" t="s">
        <v>652</v>
      </c>
      <c r="C20" s="104" t="s">
        <v>507</v>
      </c>
      <c r="D20" s="104" t="s">
        <v>909</v>
      </c>
      <c r="E20" s="104" t="s">
        <v>653</v>
      </c>
      <c r="F20" s="104" t="s">
        <v>130</v>
      </c>
      <c r="G20" s="104" t="s">
        <v>654</v>
      </c>
      <c r="H20" s="104" t="s">
        <v>909</v>
      </c>
      <c r="I20" s="104" t="s">
        <v>1772</v>
      </c>
      <c r="J20" s="104" t="s">
        <v>657</v>
      </c>
      <c r="K20" s="104" t="s">
        <v>658</v>
      </c>
      <c r="L20" s="104" t="s">
        <v>932</v>
      </c>
      <c r="M20" s="235" t="s">
        <v>1812</v>
      </c>
      <c r="N20" s="235" t="s">
        <v>909</v>
      </c>
      <c r="O20" s="235" t="s">
        <v>1772</v>
      </c>
      <c r="P20" s="235"/>
      <c r="Q20" s="235" t="s">
        <v>1812</v>
      </c>
      <c r="R20" s="235" t="s">
        <v>909</v>
      </c>
      <c r="S20" s="235" t="s">
        <v>1772</v>
      </c>
    </row>
    <row r="21" spans="2:20" customFormat="1" ht="16.5" thickTop="1" thickBot="1" x14ac:dyDescent="0.3">
      <c r="B21" s="104" t="s">
        <v>652</v>
      </c>
      <c r="C21" s="104" t="s">
        <v>507</v>
      </c>
      <c r="D21" s="104" t="s">
        <v>909</v>
      </c>
      <c r="E21" s="104" t="s">
        <v>353</v>
      </c>
      <c r="F21" s="104"/>
      <c r="G21" s="104"/>
      <c r="H21" s="104" t="s">
        <v>909</v>
      </c>
      <c r="I21" s="104" t="s">
        <v>1768</v>
      </c>
      <c r="J21" s="104" t="s">
        <v>353</v>
      </c>
      <c r="K21" s="104"/>
      <c r="L21" s="104"/>
      <c r="M21" s="235" t="s">
        <v>1812</v>
      </c>
      <c r="N21" s="235" t="s">
        <v>909</v>
      </c>
      <c r="O21" s="235" t="s">
        <v>1768</v>
      </c>
      <c r="P21" s="235"/>
      <c r="Q21" s="235" t="s">
        <v>1812</v>
      </c>
      <c r="R21" s="235" t="s">
        <v>909</v>
      </c>
      <c r="S21" s="235" t="s">
        <v>1768</v>
      </c>
    </row>
    <row r="22" spans="2:20" customFormat="1" ht="16.5" thickTop="1" thickBot="1" x14ac:dyDescent="0.3">
      <c r="B22" s="104" t="s">
        <v>652</v>
      </c>
      <c r="C22" s="104" t="s">
        <v>507</v>
      </c>
      <c r="D22" s="104" t="s">
        <v>909</v>
      </c>
      <c r="E22" s="104" t="s">
        <v>359</v>
      </c>
      <c r="F22" s="104"/>
      <c r="G22" s="104"/>
      <c r="H22" s="104" t="s">
        <v>909</v>
      </c>
      <c r="I22" s="104" t="s">
        <v>1763</v>
      </c>
      <c r="J22" s="104" t="s">
        <v>639</v>
      </c>
      <c r="K22" s="104"/>
      <c r="L22" s="104"/>
      <c r="M22" s="235" t="s">
        <v>1812</v>
      </c>
      <c r="N22" s="235" t="s">
        <v>909</v>
      </c>
      <c r="O22" s="235" t="s">
        <v>1763</v>
      </c>
      <c r="P22" s="235"/>
      <c r="Q22" s="235" t="s">
        <v>1812</v>
      </c>
      <c r="R22" s="235" t="s">
        <v>909</v>
      </c>
      <c r="S22" s="235" t="s">
        <v>1763</v>
      </c>
    </row>
    <row r="23" spans="2:20" customFormat="1" ht="16.5" thickTop="1" thickBot="1" x14ac:dyDescent="0.3">
      <c r="B23" s="104" t="s">
        <v>652</v>
      </c>
      <c r="C23" s="104" t="s">
        <v>507</v>
      </c>
      <c r="D23" s="104" t="s">
        <v>909</v>
      </c>
      <c r="E23" s="104" t="s">
        <v>363</v>
      </c>
      <c r="F23" s="104"/>
      <c r="G23" s="104"/>
      <c r="H23" s="104" t="s">
        <v>1760</v>
      </c>
      <c r="I23" s="104" t="s">
        <v>1765</v>
      </c>
      <c r="J23" s="104" t="s">
        <v>647</v>
      </c>
      <c r="K23" s="104"/>
      <c r="L23" s="104" t="s">
        <v>645</v>
      </c>
      <c r="M23" s="235" t="s">
        <v>1812</v>
      </c>
      <c r="N23" s="235" t="s">
        <v>1760</v>
      </c>
      <c r="O23" s="235" t="s">
        <v>1765</v>
      </c>
      <c r="P23" s="235"/>
      <c r="Q23" s="235"/>
      <c r="R23" s="235"/>
      <c r="S23" s="235"/>
    </row>
    <row r="24" spans="2:20" customFormat="1" ht="16.5" thickTop="1" thickBot="1" x14ac:dyDescent="0.3">
      <c r="B24" s="104" t="s">
        <v>652</v>
      </c>
      <c r="C24" s="104" t="s">
        <v>507</v>
      </c>
      <c r="D24" s="104" t="s">
        <v>909</v>
      </c>
      <c r="E24" s="104" t="s">
        <v>364</v>
      </c>
      <c r="F24" s="104"/>
      <c r="G24" s="104"/>
      <c r="H24" s="104" t="s">
        <v>1760</v>
      </c>
      <c r="I24" s="104" t="s">
        <v>633</v>
      </c>
      <c r="J24" s="104" t="s">
        <v>648</v>
      </c>
      <c r="K24" s="104"/>
      <c r="L24" s="104" t="s">
        <v>646</v>
      </c>
      <c r="M24" s="235" t="s">
        <v>1812</v>
      </c>
      <c r="N24" s="235" t="s">
        <v>1760</v>
      </c>
      <c r="O24" s="235" t="s">
        <v>633</v>
      </c>
      <c r="P24" s="235"/>
      <c r="Q24" s="235"/>
      <c r="R24" s="235"/>
      <c r="S24" s="235"/>
    </row>
    <row r="25" spans="2:20" customFormat="1" ht="16.5" thickTop="1" thickBot="1" x14ac:dyDescent="0.3">
      <c r="B25" s="104" t="s">
        <v>652</v>
      </c>
      <c r="C25" s="104" t="s">
        <v>507</v>
      </c>
      <c r="D25" s="104" t="s">
        <v>909</v>
      </c>
      <c r="E25" s="104" t="s">
        <v>361</v>
      </c>
      <c r="F25" s="104"/>
      <c r="G25" s="104"/>
      <c r="H25" s="104" t="s">
        <v>1766</v>
      </c>
      <c r="I25" s="104" t="s">
        <v>1767</v>
      </c>
      <c r="J25" s="104" t="s">
        <v>361</v>
      </c>
      <c r="K25" s="104"/>
      <c r="L25" s="104"/>
      <c r="M25" s="235" t="s">
        <v>1812</v>
      </c>
      <c r="N25" s="235" t="s">
        <v>1825</v>
      </c>
      <c r="O25" s="235" t="s">
        <v>1767</v>
      </c>
      <c r="P25" s="235"/>
      <c r="Q25" s="235" t="s">
        <v>1812</v>
      </c>
      <c r="R25" s="235" t="s">
        <v>1825</v>
      </c>
      <c r="S25" s="235" t="s">
        <v>1767</v>
      </c>
    </row>
    <row r="26" spans="2:20" customFormat="1" ht="16.5" thickTop="1" thickBot="1" x14ac:dyDescent="0.3">
      <c r="B26" s="104" t="s">
        <v>652</v>
      </c>
      <c r="C26" s="104" t="s">
        <v>507</v>
      </c>
      <c r="D26" s="104" t="s">
        <v>909</v>
      </c>
      <c r="E26" s="104" t="s">
        <v>362</v>
      </c>
      <c r="F26" s="104"/>
      <c r="G26" s="104"/>
      <c r="H26" s="104" t="s">
        <v>1766</v>
      </c>
      <c r="I26" s="104" t="s">
        <v>642</v>
      </c>
      <c r="J26" s="104" t="s">
        <v>361</v>
      </c>
      <c r="K26" s="104"/>
      <c r="L26" s="104"/>
      <c r="M26" s="235" t="s">
        <v>1812</v>
      </c>
      <c r="N26" s="235" t="s">
        <v>1825</v>
      </c>
      <c r="O26" s="235" t="s">
        <v>1035</v>
      </c>
      <c r="P26" s="235"/>
      <c r="Q26" s="235" t="s">
        <v>1812</v>
      </c>
      <c r="R26" s="235" t="s">
        <v>1825</v>
      </c>
      <c r="S26" s="235" t="s">
        <v>1035</v>
      </c>
    </row>
    <row r="27" spans="2:20" customFormat="1" ht="16.5" thickTop="1" thickBot="1" x14ac:dyDescent="0.3">
      <c r="B27" s="104" t="s">
        <v>601</v>
      </c>
      <c r="C27" s="104" t="s">
        <v>507</v>
      </c>
      <c r="D27" s="104" t="s">
        <v>38</v>
      </c>
      <c r="E27" s="104" t="s">
        <v>535</v>
      </c>
      <c r="F27" s="104"/>
      <c r="G27" s="104" t="s">
        <v>35</v>
      </c>
      <c r="H27" s="104" t="s">
        <v>1796</v>
      </c>
      <c r="I27" s="104" t="s">
        <v>1801</v>
      </c>
      <c r="J27" s="104" t="s">
        <v>623</v>
      </c>
      <c r="K27" s="104" t="s">
        <v>615</v>
      </c>
      <c r="L27" s="104" t="s">
        <v>935</v>
      </c>
      <c r="M27" s="235" t="s">
        <v>1812</v>
      </c>
      <c r="N27" s="235" t="s">
        <v>1796</v>
      </c>
      <c r="O27" s="235" t="s">
        <v>1801</v>
      </c>
      <c r="P27" s="235"/>
      <c r="Q27" s="235" t="s">
        <v>1812</v>
      </c>
      <c r="R27" s="235" t="s">
        <v>1796</v>
      </c>
      <c r="S27" s="235" t="s">
        <v>1801</v>
      </c>
    </row>
    <row r="28" spans="2:20" customFormat="1" ht="16.5" thickTop="1" thickBot="1" x14ac:dyDescent="0.3">
      <c r="B28" s="104" t="s">
        <v>601</v>
      </c>
      <c r="C28" s="104" t="s">
        <v>507</v>
      </c>
      <c r="D28" s="104" t="s">
        <v>38</v>
      </c>
      <c r="E28" s="104" t="s">
        <v>534</v>
      </c>
      <c r="F28" s="104"/>
      <c r="G28" s="104">
        <v>15.692307</v>
      </c>
      <c r="H28" s="104" t="s">
        <v>1796</v>
      </c>
      <c r="I28" s="104" t="s">
        <v>1806</v>
      </c>
      <c r="J28" s="104" t="s">
        <v>614</v>
      </c>
      <c r="K28" s="104" t="s">
        <v>342</v>
      </c>
      <c r="L28" s="104" t="s">
        <v>1562</v>
      </c>
      <c r="M28" s="235" t="s">
        <v>1812</v>
      </c>
      <c r="N28" s="235" t="s">
        <v>1796</v>
      </c>
      <c r="O28" s="235" t="s">
        <v>1806</v>
      </c>
      <c r="P28" s="235"/>
      <c r="Q28" s="235" t="s">
        <v>1812</v>
      </c>
      <c r="R28" s="235" t="s">
        <v>1796</v>
      </c>
      <c r="S28" s="235" t="s">
        <v>1806</v>
      </c>
    </row>
    <row r="29" spans="2:20" customFormat="1" ht="16.5" thickTop="1" thickBot="1" x14ac:dyDescent="0.3">
      <c r="B29" s="104" t="s">
        <v>601</v>
      </c>
      <c r="C29" s="104" t="s">
        <v>507</v>
      </c>
      <c r="D29" s="104" t="s">
        <v>38</v>
      </c>
      <c r="E29" s="104" t="s">
        <v>532</v>
      </c>
      <c r="F29" s="104"/>
      <c r="G29" s="104">
        <v>2</v>
      </c>
      <c r="H29" s="104" t="s">
        <v>1796</v>
      </c>
      <c r="I29" s="104" t="s">
        <v>1802</v>
      </c>
      <c r="J29" s="104" t="s">
        <v>613</v>
      </c>
      <c r="K29" s="104" t="s">
        <v>342</v>
      </c>
      <c r="L29" s="104" t="s">
        <v>612</v>
      </c>
      <c r="M29" s="235" t="s">
        <v>1812</v>
      </c>
      <c r="N29" s="235" t="s">
        <v>1796</v>
      </c>
      <c r="O29" s="235" t="s">
        <v>1802</v>
      </c>
      <c r="P29" s="235"/>
      <c r="Q29" s="235" t="s">
        <v>1812</v>
      </c>
      <c r="R29" s="235" t="s">
        <v>1796</v>
      </c>
      <c r="S29" s="235" t="s">
        <v>1802</v>
      </c>
    </row>
    <row r="30" spans="2:20" customFormat="1" ht="16.5" thickTop="1" thickBot="1" x14ac:dyDescent="0.3">
      <c r="B30" s="104" t="s">
        <v>601</v>
      </c>
      <c r="C30" s="104" t="s">
        <v>507</v>
      </c>
      <c r="D30" s="104" t="s">
        <v>38</v>
      </c>
      <c r="E30" s="104" t="s">
        <v>536</v>
      </c>
      <c r="F30" s="104"/>
      <c r="G30" s="104" t="s">
        <v>537</v>
      </c>
      <c r="H30" s="104" t="s">
        <v>1796</v>
      </c>
      <c r="I30" s="104" t="s">
        <v>1803</v>
      </c>
      <c r="J30" s="104" t="s">
        <v>624</v>
      </c>
      <c r="K30" s="104" t="s">
        <v>342</v>
      </c>
      <c r="L30" s="104" t="s">
        <v>611</v>
      </c>
      <c r="M30" s="235" t="s">
        <v>1812</v>
      </c>
      <c r="N30" s="235" t="s">
        <v>1796</v>
      </c>
      <c r="O30" s="235" t="s">
        <v>1803</v>
      </c>
      <c r="P30" s="235"/>
      <c r="Q30" s="235" t="s">
        <v>1812</v>
      </c>
      <c r="R30" s="235" t="s">
        <v>1796</v>
      </c>
      <c r="S30" s="235" t="s">
        <v>1803</v>
      </c>
    </row>
    <row r="31" spans="2:20" customFormat="1" ht="16.5" thickTop="1" thickBot="1" x14ac:dyDescent="0.3">
      <c r="B31" s="104" t="s">
        <v>601</v>
      </c>
      <c r="C31" s="104" t="s">
        <v>507</v>
      </c>
      <c r="D31" s="104" t="s">
        <v>38</v>
      </c>
      <c r="E31" s="104" t="s">
        <v>533</v>
      </c>
      <c r="F31" s="104"/>
      <c r="G31" s="104">
        <v>44228</v>
      </c>
      <c r="H31" s="104" t="s">
        <v>1796</v>
      </c>
      <c r="I31" s="104" t="s">
        <v>1800</v>
      </c>
      <c r="J31" s="104" t="s">
        <v>622</v>
      </c>
      <c r="K31" s="104" t="s">
        <v>49</v>
      </c>
      <c r="L31" s="104" t="s">
        <v>934</v>
      </c>
      <c r="M31" s="235" t="s">
        <v>1812</v>
      </c>
      <c r="N31" s="235" t="s">
        <v>1796</v>
      </c>
      <c r="O31" s="235" t="s">
        <v>1800</v>
      </c>
      <c r="P31" s="235"/>
      <c r="Q31" s="235" t="s">
        <v>1812</v>
      </c>
      <c r="R31" s="235" t="s">
        <v>1796</v>
      </c>
      <c r="S31" s="235" t="s">
        <v>1800</v>
      </c>
    </row>
    <row r="32" spans="2:20" customFormat="1" ht="16.5" thickTop="1" thickBot="1" x14ac:dyDescent="0.3">
      <c r="B32" s="104" t="s">
        <v>601</v>
      </c>
      <c r="C32" s="104" t="s">
        <v>507</v>
      </c>
      <c r="D32" s="104" t="s">
        <v>38</v>
      </c>
      <c r="E32" s="104" t="s">
        <v>351</v>
      </c>
      <c r="F32" s="104"/>
      <c r="G32" s="104">
        <v>100010</v>
      </c>
      <c r="H32" s="104" t="s">
        <v>1796</v>
      </c>
      <c r="I32" s="104" t="s">
        <v>1747</v>
      </c>
      <c r="J32" s="104" t="s">
        <v>668</v>
      </c>
      <c r="K32" s="104" t="s">
        <v>45</v>
      </c>
      <c r="L32" s="104" t="s">
        <v>627</v>
      </c>
      <c r="M32" s="235" t="s">
        <v>1812</v>
      </c>
      <c r="N32" s="235" t="s">
        <v>1796</v>
      </c>
      <c r="O32" s="235" t="s">
        <v>1747</v>
      </c>
      <c r="P32" s="235"/>
      <c r="Q32" s="235" t="s">
        <v>1812</v>
      </c>
      <c r="R32" s="235" t="s">
        <v>1796</v>
      </c>
      <c r="S32" s="235" t="s">
        <v>1747</v>
      </c>
    </row>
    <row r="33" spans="2:19" customFormat="1" ht="16.5" thickTop="1" thickBot="1" x14ac:dyDescent="0.3">
      <c r="B33" s="104" t="s">
        <v>601</v>
      </c>
      <c r="C33" s="104" t="s">
        <v>507</v>
      </c>
      <c r="D33" s="104" t="s">
        <v>38</v>
      </c>
      <c r="E33" s="104" t="s">
        <v>516</v>
      </c>
      <c r="F33" s="104"/>
      <c r="G33" s="104" t="s">
        <v>517</v>
      </c>
      <c r="H33" s="104" t="s">
        <v>1796</v>
      </c>
      <c r="I33" s="104" t="s">
        <v>1797</v>
      </c>
      <c r="J33" s="104" t="s">
        <v>609</v>
      </c>
      <c r="K33" s="104" t="s">
        <v>342</v>
      </c>
      <c r="L33" s="104"/>
      <c r="M33" s="235" t="s">
        <v>1812</v>
      </c>
      <c r="N33" s="235" t="s">
        <v>1796</v>
      </c>
      <c r="O33" s="235" t="s">
        <v>1797</v>
      </c>
      <c r="P33" s="235"/>
      <c r="Q33" s="235" t="s">
        <v>1812</v>
      </c>
      <c r="R33" s="235" t="s">
        <v>1796</v>
      </c>
      <c r="S33" s="235" t="s">
        <v>1797</v>
      </c>
    </row>
    <row r="34" spans="2:19" customFormat="1" ht="16.5" thickTop="1" thickBot="1" x14ac:dyDescent="0.3">
      <c r="B34" s="104" t="s">
        <v>601</v>
      </c>
      <c r="C34" s="104" t="s">
        <v>507</v>
      </c>
      <c r="D34" s="104" t="s">
        <v>38</v>
      </c>
      <c r="E34" s="104" t="s">
        <v>526</v>
      </c>
      <c r="F34" s="104"/>
      <c r="G34" s="104">
        <v>1001828</v>
      </c>
      <c r="H34" s="104" t="s">
        <v>1796</v>
      </c>
      <c r="I34" s="104" t="s">
        <v>1798</v>
      </c>
      <c r="J34" s="104" t="s">
        <v>525</v>
      </c>
      <c r="K34" s="104" t="s">
        <v>342</v>
      </c>
      <c r="L34" s="104"/>
      <c r="M34" s="235" t="s">
        <v>1812</v>
      </c>
      <c r="N34" s="235" t="s">
        <v>1796</v>
      </c>
      <c r="O34" s="235" t="s">
        <v>1798</v>
      </c>
      <c r="P34" s="235"/>
      <c r="Q34" s="235" t="s">
        <v>1812</v>
      </c>
      <c r="R34" s="235" t="s">
        <v>1796</v>
      </c>
      <c r="S34" s="235" t="s">
        <v>1798</v>
      </c>
    </row>
    <row r="35" spans="2:19" customFormat="1" ht="16.5" thickTop="1" thickBot="1" x14ac:dyDescent="0.3">
      <c r="B35" s="104" t="s">
        <v>601</v>
      </c>
      <c r="C35" s="104" t="s">
        <v>507</v>
      </c>
      <c r="D35" s="104" t="s">
        <v>38</v>
      </c>
      <c r="E35" s="104" t="s">
        <v>542</v>
      </c>
      <c r="F35" s="104"/>
      <c r="G35" s="104">
        <v>421</v>
      </c>
      <c r="H35" s="104" t="s">
        <v>1796</v>
      </c>
      <c r="I35" s="104" t="s">
        <v>1799</v>
      </c>
      <c r="J35" s="104" t="s">
        <v>619</v>
      </c>
      <c r="K35" s="104" t="s">
        <v>342</v>
      </c>
      <c r="L35" s="104"/>
      <c r="M35" s="235" t="s">
        <v>1812</v>
      </c>
      <c r="N35" s="235" t="s">
        <v>1796</v>
      </c>
      <c r="O35" s="235" t="s">
        <v>1799</v>
      </c>
      <c r="P35" s="235"/>
      <c r="Q35" s="235" t="s">
        <v>1812</v>
      </c>
      <c r="R35" s="235" t="s">
        <v>1796</v>
      </c>
      <c r="S35" s="235" t="s">
        <v>1799</v>
      </c>
    </row>
    <row r="36" spans="2:19" customFormat="1" ht="16.5" thickTop="1" thickBot="1" x14ac:dyDescent="0.3">
      <c r="B36" s="104" t="s">
        <v>601</v>
      </c>
      <c r="C36" s="104" t="s">
        <v>507</v>
      </c>
      <c r="D36" s="104" t="s">
        <v>38</v>
      </c>
      <c r="E36" s="104" t="s">
        <v>539</v>
      </c>
      <c r="F36" s="104"/>
      <c r="G36" s="104" t="s">
        <v>540</v>
      </c>
      <c r="H36" s="104" t="s">
        <v>1796</v>
      </c>
      <c r="I36" s="104" t="s">
        <v>617</v>
      </c>
      <c r="J36" s="104" t="s">
        <v>616</v>
      </c>
      <c r="K36" s="104" t="s">
        <v>342</v>
      </c>
      <c r="L36" s="104" t="s">
        <v>618</v>
      </c>
      <c r="M36" s="235" t="s">
        <v>1812</v>
      </c>
      <c r="N36" s="235" t="s">
        <v>1796</v>
      </c>
      <c r="O36" s="235" t="s">
        <v>617</v>
      </c>
      <c r="P36" s="235"/>
      <c r="Q36" s="235" t="s">
        <v>1812</v>
      </c>
      <c r="R36" s="235" t="s">
        <v>1796</v>
      </c>
      <c r="S36" s="235" t="s">
        <v>617</v>
      </c>
    </row>
    <row r="37" spans="2:19" customFormat="1" ht="16.5" thickTop="1" thickBot="1" x14ac:dyDescent="0.3">
      <c r="B37" s="104" t="s">
        <v>601</v>
      </c>
      <c r="C37" s="104" t="s">
        <v>507</v>
      </c>
      <c r="D37" s="104" t="s">
        <v>38</v>
      </c>
      <c r="E37" s="104" t="s">
        <v>514</v>
      </c>
      <c r="F37" s="104"/>
      <c r="G37" s="104">
        <v>79325</v>
      </c>
      <c r="H37" s="104" t="s">
        <v>1796</v>
      </c>
      <c r="I37" s="104" t="s">
        <v>605</v>
      </c>
      <c r="J37" s="104" t="s">
        <v>608</v>
      </c>
      <c r="K37" s="104" t="s">
        <v>342</v>
      </c>
      <c r="L37" s="104" t="s">
        <v>628</v>
      </c>
      <c r="M37" s="235" t="s">
        <v>1812</v>
      </c>
      <c r="N37" s="235" t="s">
        <v>1796</v>
      </c>
      <c r="O37" s="235" t="s">
        <v>605</v>
      </c>
      <c r="P37" s="235"/>
      <c r="Q37" s="235" t="s">
        <v>1812</v>
      </c>
      <c r="R37" s="235" t="s">
        <v>1796</v>
      </c>
      <c r="S37" s="235" t="s">
        <v>605</v>
      </c>
    </row>
    <row r="38" spans="2:19" customFormat="1" ht="16.5" thickTop="1" thickBot="1" x14ac:dyDescent="0.3">
      <c r="B38" s="104" t="s">
        <v>601</v>
      </c>
      <c r="C38" s="104" t="s">
        <v>507</v>
      </c>
      <c r="D38" s="104" t="s">
        <v>38</v>
      </c>
      <c r="E38" s="104" t="s">
        <v>255</v>
      </c>
      <c r="F38" s="104"/>
      <c r="G38" s="104">
        <v>44228</v>
      </c>
      <c r="H38" s="104" t="s">
        <v>1796</v>
      </c>
      <c r="I38" s="104" t="s">
        <v>1804</v>
      </c>
      <c r="J38" s="104" t="s">
        <v>621</v>
      </c>
      <c r="K38" s="104" t="s">
        <v>342</v>
      </c>
      <c r="L38" s="104" t="s">
        <v>936</v>
      </c>
      <c r="M38" s="235" t="s">
        <v>1812</v>
      </c>
      <c r="N38" s="235" t="s">
        <v>1796</v>
      </c>
      <c r="O38" s="235" t="s">
        <v>1804</v>
      </c>
      <c r="P38" s="235"/>
      <c r="Q38" s="235" t="s">
        <v>1812</v>
      </c>
      <c r="R38" s="235" t="s">
        <v>1796</v>
      </c>
      <c r="S38" s="235" t="s">
        <v>1804</v>
      </c>
    </row>
    <row r="39" spans="2:19" customFormat="1" ht="16.5" thickTop="1" thickBot="1" x14ac:dyDescent="0.3">
      <c r="B39" s="104" t="s">
        <v>652</v>
      </c>
      <c r="C39" s="104" t="s">
        <v>507</v>
      </c>
      <c r="D39" s="104" t="s">
        <v>754</v>
      </c>
      <c r="E39" s="104" t="s">
        <v>660</v>
      </c>
      <c r="F39" s="104" t="s">
        <v>661</v>
      </c>
      <c r="G39" s="104">
        <v>43535</v>
      </c>
      <c r="H39" s="104" t="s">
        <v>754</v>
      </c>
      <c r="I39" s="104" t="s">
        <v>636</v>
      </c>
      <c r="J39" s="104" t="s">
        <v>678</v>
      </c>
      <c r="K39" s="104" t="s">
        <v>661</v>
      </c>
      <c r="L39" s="104" t="s">
        <v>735</v>
      </c>
      <c r="M39" s="235" t="s">
        <v>1812</v>
      </c>
      <c r="N39" s="235" t="s">
        <v>754</v>
      </c>
      <c r="O39" s="235" t="s">
        <v>636</v>
      </c>
      <c r="P39" s="235"/>
      <c r="Q39" s="236"/>
      <c r="R39" s="236"/>
      <c r="S39" s="236"/>
    </row>
    <row r="40" spans="2:19" customFormat="1" ht="16.5" thickTop="1" thickBot="1" x14ac:dyDescent="0.3">
      <c r="B40" s="104" t="s">
        <v>652</v>
      </c>
      <c r="C40" s="104" t="s">
        <v>507</v>
      </c>
      <c r="D40" s="104" t="s">
        <v>754</v>
      </c>
      <c r="E40" s="104" t="s">
        <v>910</v>
      </c>
      <c r="F40" s="104" t="s">
        <v>661</v>
      </c>
      <c r="G40" s="104">
        <v>43535</v>
      </c>
      <c r="H40" s="104" t="s">
        <v>754</v>
      </c>
      <c r="I40" s="104" t="s">
        <v>637</v>
      </c>
      <c r="J40" s="104" t="s">
        <v>679</v>
      </c>
      <c r="K40" s="104" t="s">
        <v>661</v>
      </c>
      <c r="L40" s="104" t="s">
        <v>736</v>
      </c>
      <c r="M40" s="235" t="s">
        <v>1812</v>
      </c>
      <c r="N40" s="235" t="s">
        <v>754</v>
      </c>
      <c r="O40" s="235" t="s">
        <v>637</v>
      </c>
      <c r="P40" s="235"/>
      <c r="Q40" s="236"/>
      <c r="R40" s="236"/>
      <c r="S40" s="236"/>
    </row>
    <row r="41" spans="2:19" customFormat="1" ht="16.5" thickTop="1" thickBot="1" x14ac:dyDescent="0.3">
      <c r="B41" s="104"/>
      <c r="C41" s="104"/>
      <c r="D41" s="104"/>
      <c r="E41" s="104"/>
      <c r="F41" s="104"/>
      <c r="G41" s="104"/>
      <c r="H41" s="104" t="s">
        <v>754</v>
      </c>
      <c r="I41" s="104" t="s">
        <v>1751</v>
      </c>
      <c r="J41" s="104"/>
      <c r="K41" s="104"/>
      <c r="L41" s="104"/>
      <c r="M41" s="235" t="s">
        <v>1812</v>
      </c>
      <c r="N41" s="235" t="s">
        <v>754</v>
      </c>
      <c r="O41" s="235" t="s">
        <v>1751</v>
      </c>
      <c r="P41" s="235"/>
      <c r="Q41" s="235" t="s">
        <v>1812</v>
      </c>
      <c r="R41" s="235" t="s">
        <v>754</v>
      </c>
      <c r="S41" s="235" t="s">
        <v>1751</v>
      </c>
    </row>
    <row r="42" spans="2:19" customFormat="1" ht="16.5" thickTop="1" thickBot="1" x14ac:dyDescent="0.3">
      <c r="B42" s="104" t="s">
        <v>652</v>
      </c>
      <c r="C42" s="104" t="s">
        <v>507</v>
      </c>
      <c r="D42" s="104" t="s">
        <v>754</v>
      </c>
      <c r="E42" s="104" t="s">
        <v>759</v>
      </c>
      <c r="F42" s="104"/>
      <c r="G42" s="104" t="s">
        <v>655</v>
      </c>
      <c r="H42" s="104" t="s">
        <v>754</v>
      </c>
      <c r="I42" s="104" t="s">
        <v>760</v>
      </c>
      <c r="J42" s="104" t="s">
        <v>765</v>
      </c>
      <c r="K42" s="104" t="s">
        <v>342</v>
      </c>
      <c r="L42" s="104" t="s">
        <v>766</v>
      </c>
      <c r="M42" s="235" t="s">
        <v>1812</v>
      </c>
      <c r="N42" s="235" t="s">
        <v>754</v>
      </c>
      <c r="O42" s="235" t="s">
        <v>760</v>
      </c>
      <c r="P42" s="235"/>
      <c r="Q42" s="236"/>
      <c r="R42" s="236"/>
      <c r="S42" s="236"/>
    </row>
    <row r="43" spans="2:19" customFormat="1" ht="16.5" thickTop="1" thickBot="1" x14ac:dyDescent="0.3">
      <c r="B43" s="104" t="s">
        <v>652</v>
      </c>
      <c r="C43" s="104" t="s">
        <v>507</v>
      </c>
      <c r="D43" s="104" t="s">
        <v>754</v>
      </c>
      <c r="E43" s="104" t="s">
        <v>662</v>
      </c>
      <c r="F43" s="104"/>
      <c r="G43" s="104" t="s">
        <v>694</v>
      </c>
      <c r="H43" s="104" t="s">
        <v>754</v>
      </c>
      <c r="I43" s="104" t="s">
        <v>762</v>
      </c>
      <c r="J43" s="104" t="s">
        <v>332</v>
      </c>
      <c r="K43" s="104" t="s">
        <v>342</v>
      </c>
      <c r="L43" s="104" t="s">
        <v>695</v>
      </c>
      <c r="M43" s="235" t="s">
        <v>1812</v>
      </c>
      <c r="N43" s="235" t="s">
        <v>754</v>
      </c>
      <c r="O43" s="235" t="s">
        <v>762</v>
      </c>
      <c r="P43" s="235"/>
      <c r="Q43" s="236"/>
      <c r="R43" s="236"/>
      <c r="S43" s="236"/>
    </row>
    <row r="44" spans="2:19" customFormat="1" ht="16.5" thickTop="1" thickBot="1" x14ac:dyDescent="0.3">
      <c r="B44" s="104" t="s">
        <v>652</v>
      </c>
      <c r="C44" s="104" t="s">
        <v>507</v>
      </c>
      <c r="D44" s="104" t="s">
        <v>754</v>
      </c>
      <c r="E44" s="104" t="s">
        <v>663</v>
      </c>
      <c r="F44" s="104"/>
      <c r="G44" s="104" t="s">
        <v>693</v>
      </c>
      <c r="H44" s="104" t="s">
        <v>754</v>
      </c>
      <c r="I44" s="104" t="s">
        <v>761</v>
      </c>
      <c r="J44" s="104" t="s">
        <v>763</v>
      </c>
      <c r="K44" s="104" t="s">
        <v>342</v>
      </c>
      <c r="L44" s="104" t="s">
        <v>753</v>
      </c>
      <c r="M44" s="235" t="s">
        <v>1812</v>
      </c>
      <c r="N44" s="235" t="s">
        <v>754</v>
      </c>
      <c r="O44" s="235" t="s">
        <v>761</v>
      </c>
      <c r="P44" s="235"/>
      <c r="Q44" s="236"/>
      <c r="R44" s="236"/>
      <c r="S44" s="236"/>
    </row>
    <row r="45" spans="2:19" customFormat="1" ht="16.5" thickTop="1" thickBot="1" x14ac:dyDescent="0.3">
      <c r="B45" s="104" t="s">
        <v>652</v>
      </c>
      <c r="C45" s="104" t="s">
        <v>507</v>
      </c>
      <c r="D45" s="104" t="s">
        <v>754</v>
      </c>
      <c r="E45" s="104" t="s">
        <v>664</v>
      </c>
      <c r="F45" s="104"/>
      <c r="G45" s="104" t="s">
        <v>691</v>
      </c>
      <c r="H45" s="104" t="s">
        <v>754</v>
      </c>
      <c r="I45" s="104" t="s">
        <v>1798</v>
      </c>
      <c r="J45" s="104" t="s">
        <v>525</v>
      </c>
      <c r="K45" s="104" t="s">
        <v>342</v>
      </c>
      <c r="L45" s="104" t="s">
        <v>756</v>
      </c>
      <c r="M45" s="235" t="s">
        <v>1812</v>
      </c>
      <c r="N45" s="235" t="s">
        <v>754</v>
      </c>
      <c r="O45" s="235" t="s">
        <v>1798</v>
      </c>
      <c r="P45" s="235"/>
      <c r="Q45" s="235" t="s">
        <v>1812</v>
      </c>
      <c r="R45" s="235" t="s">
        <v>754</v>
      </c>
      <c r="S45" s="235" t="s">
        <v>1798</v>
      </c>
    </row>
    <row r="46" spans="2:19" customFormat="1" ht="16.5" thickTop="1" thickBot="1" x14ac:dyDescent="0.3">
      <c r="B46" s="104" t="s">
        <v>652</v>
      </c>
      <c r="C46" s="104" t="s">
        <v>507</v>
      </c>
      <c r="D46" s="104" t="s">
        <v>754</v>
      </c>
      <c r="E46" s="104" t="s">
        <v>665</v>
      </c>
      <c r="F46" s="104"/>
      <c r="G46" s="104" t="s">
        <v>692</v>
      </c>
      <c r="H46" s="104" t="s">
        <v>754</v>
      </c>
      <c r="I46" s="104" t="s">
        <v>764</v>
      </c>
      <c r="J46" s="104" t="s">
        <v>696</v>
      </c>
      <c r="K46" s="104" t="s">
        <v>342</v>
      </c>
      <c r="L46" s="104" t="s">
        <v>755</v>
      </c>
      <c r="M46" s="235" t="s">
        <v>1812</v>
      </c>
      <c r="N46" s="235" t="s">
        <v>754</v>
      </c>
      <c r="O46" s="235" t="s">
        <v>764</v>
      </c>
      <c r="P46" s="235"/>
      <c r="Q46" s="235" t="s">
        <v>1812</v>
      </c>
      <c r="R46" s="235" t="s">
        <v>754</v>
      </c>
      <c r="S46" s="235" t="s">
        <v>1003</v>
      </c>
    </row>
    <row r="47" spans="2:19" customFormat="1" ht="16.5" thickTop="1" thickBot="1" x14ac:dyDescent="0.3">
      <c r="B47" s="104" t="s">
        <v>652</v>
      </c>
      <c r="C47" s="104" t="s">
        <v>507</v>
      </c>
      <c r="D47" s="104" t="s">
        <v>909</v>
      </c>
      <c r="E47" s="104" t="s">
        <v>355</v>
      </c>
      <c r="F47" s="104"/>
      <c r="G47" s="104"/>
      <c r="H47" s="104" t="s">
        <v>1761</v>
      </c>
      <c r="I47" s="104" t="s">
        <v>1764</v>
      </c>
      <c r="J47" s="104" t="s">
        <v>355</v>
      </c>
      <c r="K47" s="104"/>
      <c r="L47" s="104"/>
      <c r="M47" s="235" t="s">
        <v>1812</v>
      </c>
      <c r="N47" s="235" t="s">
        <v>1761</v>
      </c>
      <c r="O47" s="235" t="s">
        <v>1764</v>
      </c>
      <c r="P47" s="235"/>
      <c r="Q47" s="235" t="s">
        <v>1812</v>
      </c>
      <c r="R47" s="235" t="s">
        <v>1761</v>
      </c>
      <c r="S47" s="235" t="s">
        <v>1764</v>
      </c>
    </row>
    <row r="48" spans="2:19" customFormat="1" ht="16.5" thickTop="1" thickBot="1" x14ac:dyDescent="0.3">
      <c r="B48" s="104" t="s">
        <v>652</v>
      </c>
      <c r="C48" s="104" t="s">
        <v>507</v>
      </c>
      <c r="D48" s="104" t="s">
        <v>909</v>
      </c>
      <c r="E48" s="104" t="s">
        <v>356</v>
      </c>
      <c r="F48" s="104"/>
      <c r="G48" s="104"/>
      <c r="H48" s="104" t="s">
        <v>1761</v>
      </c>
      <c r="I48" s="104" t="s">
        <v>635</v>
      </c>
      <c r="J48" s="104" t="s">
        <v>355</v>
      </c>
      <c r="K48" s="104"/>
      <c r="L48" s="104"/>
      <c r="M48" s="235" t="s">
        <v>1812</v>
      </c>
      <c r="N48" s="235" t="s">
        <v>1761</v>
      </c>
      <c r="O48" s="235" t="s">
        <v>1032</v>
      </c>
      <c r="P48" s="235"/>
      <c r="Q48" s="235" t="s">
        <v>1812</v>
      </c>
      <c r="R48" s="235" t="s">
        <v>1761</v>
      </c>
      <c r="S48" s="235" t="s">
        <v>1032</v>
      </c>
    </row>
    <row r="49" spans="1:19" customFormat="1" ht="16.5" thickTop="1" thickBot="1" x14ac:dyDescent="0.3">
      <c r="B49" s="104" t="s">
        <v>601</v>
      </c>
      <c r="C49" s="104" t="s">
        <v>507</v>
      </c>
      <c r="D49" s="104" t="s">
        <v>345</v>
      </c>
      <c r="E49" s="104" t="s">
        <v>17</v>
      </c>
      <c r="F49" s="104" t="s">
        <v>179</v>
      </c>
      <c r="G49" s="104"/>
      <c r="H49" s="104" t="s">
        <v>1790</v>
      </c>
      <c r="I49" s="104" t="s">
        <v>559</v>
      </c>
      <c r="J49" s="104" t="s">
        <v>377</v>
      </c>
      <c r="K49" s="104" t="s">
        <v>179</v>
      </c>
      <c r="L49" s="104" t="s">
        <v>371</v>
      </c>
      <c r="M49" s="235" t="s">
        <v>1812</v>
      </c>
      <c r="N49" s="235" t="s">
        <v>1823</v>
      </c>
      <c r="O49" s="235" t="s">
        <v>559</v>
      </c>
      <c r="P49" s="235"/>
      <c r="Q49" s="235" t="s">
        <v>1812</v>
      </c>
      <c r="R49" s="235" t="s">
        <v>1823</v>
      </c>
      <c r="S49" s="235" t="s">
        <v>559</v>
      </c>
    </row>
    <row r="50" spans="1:19" customFormat="1" ht="16.5" thickTop="1" thickBot="1" x14ac:dyDescent="0.3">
      <c r="B50" s="104"/>
      <c r="C50" s="104"/>
      <c r="D50" s="104"/>
      <c r="E50" s="104"/>
      <c r="F50" s="104"/>
      <c r="G50" s="104"/>
      <c r="H50" s="104" t="s">
        <v>1750</v>
      </c>
      <c r="I50" s="104" t="s">
        <v>1755</v>
      </c>
      <c r="J50" s="104"/>
      <c r="K50" s="104"/>
      <c r="L50" s="104" t="s">
        <v>1757</v>
      </c>
      <c r="M50" s="235" t="s">
        <v>1812</v>
      </c>
      <c r="N50" s="235" t="s">
        <v>1823</v>
      </c>
      <c r="O50" s="235" t="s">
        <v>1755</v>
      </c>
      <c r="P50" s="235"/>
      <c r="Q50" s="235" t="s">
        <v>1812</v>
      </c>
      <c r="R50" s="235" t="s">
        <v>1823</v>
      </c>
      <c r="S50" s="235" t="s">
        <v>1755</v>
      </c>
    </row>
    <row r="51" spans="1:19" customFormat="1" ht="16.5" thickTop="1" thickBot="1" x14ac:dyDescent="0.3">
      <c r="B51" s="104"/>
      <c r="C51" s="104"/>
      <c r="D51" s="104"/>
      <c r="E51" s="104"/>
      <c r="F51" s="104"/>
      <c r="G51" s="104"/>
      <c r="H51" s="104"/>
      <c r="I51" s="104"/>
      <c r="J51" s="104"/>
      <c r="K51" s="104"/>
      <c r="L51" s="104"/>
      <c r="M51" s="235"/>
      <c r="N51" s="235"/>
      <c r="O51" s="235"/>
      <c r="P51" s="235"/>
      <c r="Q51" s="235" t="s">
        <v>1812</v>
      </c>
      <c r="R51" s="235" t="s">
        <v>1823</v>
      </c>
      <c r="S51" s="235" t="s">
        <v>1747</v>
      </c>
    </row>
    <row r="52" spans="1:19" customFormat="1" ht="16.5" thickTop="1" thickBot="1" x14ac:dyDescent="0.3">
      <c r="B52" s="104"/>
      <c r="C52" s="104"/>
      <c r="D52" s="104"/>
      <c r="E52" s="104"/>
      <c r="F52" s="104"/>
      <c r="G52" s="104"/>
      <c r="H52" s="104" t="s">
        <v>1750</v>
      </c>
      <c r="I52" s="104" t="s">
        <v>1751</v>
      </c>
      <c r="J52" s="104"/>
      <c r="K52" s="104" t="s">
        <v>45</v>
      </c>
      <c r="L52" s="104" t="s">
        <v>1752</v>
      </c>
      <c r="M52" s="235" t="s">
        <v>1812</v>
      </c>
      <c r="N52" s="235" t="s">
        <v>1823</v>
      </c>
      <c r="O52" s="235" t="s">
        <v>1751</v>
      </c>
      <c r="P52" s="235"/>
      <c r="Q52" s="235" t="s">
        <v>1812</v>
      </c>
      <c r="R52" s="235" t="s">
        <v>1823</v>
      </c>
      <c r="S52" s="235" t="s">
        <v>1751</v>
      </c>
    </row>
    <row r="53" spans="1:19" customFormat="1" ht="16.5" thickTop="1" thickBot="1" x14ac:dyDescent="0.3">
      <c r="B53" s="104" t="s">
        <v>908</v>
      </c>
      <c r="C53" s="104" t="s">
        <v>507</v>
      </c>
      <c r="D53" s="104" t="s">
        <v>748</v>
      </c>
      <c r="E53" s="104" t="s">
        <v>377</v>
      </c>
      <c r="F53" s="104" t="s">
        <v>342</v>
      </c>
      <c r="G53" s="104" t="s">
        <v>732</v>
      </c>
      <c r="H53" s="104" t="s">
        <v>1750</v>
      </c>
      <c r="I53" s="104" t="s">
        <v>559</v>
      </c>
      <c r="J53" s="104" t="s">
        <v>377</v>
      </c>
      <c r="K53" s="104" t="s">
        <v>45</v>
      </c>
      <c r="L53" s="104" t="s">
        <v>893</v>
      </c>
      <c r="M53" s="235" t="s">
        <v>1812</v>
      </c>
      <c r="N53" s="235" t="s">
        <v>1823</v>
      </c>
      <c r="O53" s="235" t="s">
        <v>559</v>
      </c>
      <c r="P53" s="235"/>
      <c r="Q53" s="235" t="s">
        <v>1812</v>
      </c>
      <c r="R53" s="235" t="s">
        <v>1823</v>
      </c>
      <c r="S53" s="235" t="s">
        <v>559</v>
      </c>
    </row>
    <row r="54" spans="1:19" customFormat="1" ht="16.5" thickTop="1" thickBot="1" x14ac:dyDescent="0.3">
      <c r="B54" s="104" t="s">
        <v>908</v>
      </c>
      <c r="C54" s="104" t="s">
        <v>507</v>
      </c>
      <c r="D54" s="104" t="s">
        <v>748</v>
      </c>
      <c r="E54" s="104" t="s">
        <v>731</v>
      </c>
      <c r="F54" s="104" t="s">
        <v>342</v>
      </c>
      <c r="G54" s="104" t="s">
        <v>733</v>
      </c>
      <c r="H54" s="104" t="s">
        <v>1750</v>
      </c>
      <c r="I54" s="104" t="s">
        <v>885</v>
      </c>
      <c r="J54" s="104" t="s">
        <v>734</v>
      </c>
      <c r="K54" s="104" t="s">
        <v>342</v>
      </c>
      <c r="L54" s="104" t="s">
        <v>894</v>
      </c>
      <c r="M54" s="235" t="s">
        <v>1812</v>
      </c>
      <c r="N54" s="235" t="s">
        <v>1823</v>
      </c>
      <c r="O54" s="235" t="s">
        <v>885</v>
      </c>
      <c r="P54" s="235"/>
      <c r="Q54" s="235" t="s">
        <v>1812</v>
      </c>
      <c r="R54" s="235" t="s">
        <v>1823</v>
      </c>
      <c r="S54" s="235" t="s">
        <v>885</v>
      </c>
    </row>
    <row r="55" spans="1:19" customFormat="1" ht="16.5" thickTop="1" thickBot="1" x14ac:dyDescent="0.3">
      <c r="B55" s="104" t="s">
        <v>908</v>
      </c>
      <c r="C55" s="104" t="s">
        <v>507</v>
      </c>
      <c r="D55" s="104" t="s">
        <v>748</v>
      </c>
      <c r="E55" s="104" t="s">
        <v>366</v>
      </c>
      <c r="F55" s="104" t="s">
        <v>661</v>
      </c>
      <c r="G55" s="104"/>
      <c r="H55" s="104" t="s">
        <v>1750</v>
      </c>
      <c r="I55" s="104" t="s">
        <v>166</v>
      </c>
      <c r="J55" s="104" t="s">
        <v>679</v>
      </c>
      <c r="K55" s="104" t="s">
        <v>661</v>
      </c>
      <c r="L55" s="104" t="s">
        <v>933</v>
      </c>
      <c r="M55" s="235" t="s">
        <v>1812</v>
      </c>
      <c r="N55" s="235" t="s">
        <v>1823</v>
      </c>
      <c r="O55" s="235" t="s">
        <v>166</v>
      </c>
      <c r="P55" s="235"/>
      <c r="Q55" s="235" t="s">
        <v>1812</v>
      </c>
      <c r="R55" s="235" t="s">
        <v>1823</v>
      </c>
      <c r="S55" s="235" t="s">
        <v>166</v>
      </c>
    </row>
    <row r="56" spans="1:19" customFormat="1" ht="16.5" thickTop="1" thickBot="1" x14ac:dyDescent="0.3">
      <c r="B56" s="104"/>
      <c r="C56" s="104"/>
      <c r="D56" s="104"/>
      <c r="E56" s="104"/>
      <c r="F56" s="104"/>
      <c r="G56" s="104"/>
      <c r="H56" s="104" t="s">
        <v>1750</v>
      </c>
      <c r="I56" s="104" t="s">
        <v>1771</v>
      </c>
      <c r="J56" s="104"/>
      <c r="K56" s="104" t="s">
        <v>658</v>
      </c>
      <c r="L56" s="104"/>
      <c r="M56" s="235" t="s">
        <v>1812</v>
      </c>
      <c r="N56" s="235" t="s">
        <v>1823</v>
      </c>
      <c r="O56" s="235" t="s">
        <v>1771</v>
      </c>
      <c r="P56" s="235"/>
      <c r="Q56" s="235" t="s">
        <v>1812</v>
      </c>
      <c r="R56" s="235" t="s">
        <v>1823</v>
      </c>
      <c r="S56" s="235" t="s">
        <v>1771</v>
      </c>
    </row>
    <row r="57" spans="1:19" customFormat="1" ht="16.5" thickTop="1" thickBot="1" x14ac:dyDescent="0.3">
      <c r="B57" s="104" t="s">
        <v>908</v>
      </c>
      <c r="C57" s="104" t="s">
        <v>507</v>
      </c>
      <c r="D57" s="104" t="s">
        <v>748</v>
      </c>
      <c r="E57" s="104" t="s">
        <v>365</v>
      </c>
      <c r="F57" s="104" t="s">
        <v>661</v>
      </c>
      <c r="G57" s="104"/>
      <c r="H57" s="104" t="s">
        <v>1750</v>
      </c>
      <c r="I57" s="104" t="s">
        <v>255</v>
      </c>
      <c r="J57" s="104" t="s">
        <v>678</v>
      </c>
      <c r="K57" s="104" t="s">
        <v>661</v>
      </c>
      <c r="L57" s="104" t="s">
        <v>933</v>
      </c>
      <c r="M57" s="235" t="s">
        <v>1812</v>
      </c>
      <c r="N57" s="235" t="s">
        <v>1823</v>
      </c>
      <c r="O57" s="235" t="s">
        <v>255</v>
      </c>
      <c r="P57" s="235"/>
      <c r="Q57" s="235" t="s">
        <v>1812</v>
      </c>
      <c r="R57" s="235" t="s">
        <v>1823</v>
      </c>
      <c r="S57" s="235" t="s">
        <v>255</v>
      </c>
    </row>
    <row r="58" spans="1:19" customFormat="1" ht="16.5" thickTop="1" thickBot="1" x14ac:dyDescent="0.3">
      <c r="B58" s="104" t="s">
        <v>601</v>
      </c>
      <c r="C58" s="104" t="s">
        <v>507</v>
      </c>
      <c r="D58" s="104" t="s">
        <v>345</v>
      </c>
      <c r="E58" s="104" t="s">
        <v>197</v>
      </c>
      <c r="F58" s="104" t="s">
        <v>188</v>
      </c>
      <c r="G58" s="104"/>
      <c r="H58" s="104" t="s">
        <v>1750</v>
      </c>
      <c r="I58" s="104" t="s">
        <v>1774</v>
      </c>
      <c r="J58" s="104" t="s">
        <v>397</v>
      </c>
      <c r="K58" s="104" t="s">
        <v>188</v>
      </c>
      <c r="L58" s="104" t="s">
        <v>398</v>
      </c>
      <c r="M58" s="235" t="s">
        <v>1812</v>
      </c>
      <c r="N58" s="235" t="s">
        <v>1823</v>
      </c>
      <c r="O58" s="235" t="s">
        <v>1774</v>
      </c>
      <c r="P58" s="235"/>
      <c r="Q58" s="235" t="s">
        <v>1812</v>
      </c>
      <c r="R58" s="235" t="s">
        <v>1823</v>
      </c>
      <c r="S58" s="235" t="s">
        <v>1774</v>
      </c>
    </row>
    <row r="59" spans="1:19" customFormat="1" ht="16.5" thickTop="1" thickBot="1" x14ac:dyDescent="0.3">
      <c r="B59" s="104"/>
      <c r="C59" s="104"/>
      <c r="D59" s="104"/>
      <c r="E59" s="104"/>
      <c r="F59" s="104"/>
      <c r="G59" s="104"/>
      <c r="H59" s="104" t="s">
        <v>1750</v>
      </c>
      <c r="I59" s="104" t="s">
        <v>1754</v>
      </c>
      <c r="J59" s="104"/>
      <c r="K59" s="104"/>
      <c r="L59" s="104" t="s">
        <v>1756</v>
      </c>
      <c r="M59" s="235" t="s">
        <v>1812</v>
      </c>
      <c r="N59" s="235" t="s">
        <v>1823</v>
      </c>
      <c r="O59" s="235" t="s">
        <v>1754</v>
      </c>
      <c r="P59" s="235"/>
      <c r="Q59" s="235"/>
      <c r="R59" s="235"/>
      <c r="S59" s="235"/>
    </row>
    <row r="60" spans="1:19" customFormat="1" ht="15" customHeight="1" thickTop="1" thickBot="1" x14ac:dyDescent="0.3">
      <c r="A60" t="s">
        <v>1807</v>
      </c>
      <c r="B60" s="104"/>
      <c r="C60" s="104"/>
      <c r="D60" s="104"/>
      <c r="E60" s="104"/>
      <c r="F60" s="104"/>
      <c r="G60" s="104"/>
      <c r="H60" s="104" t="s">
        <v>1758</v>
      </c>
      <c r="I60" s="104" t="s">
        <v>98</v>
      </c>
      <c r="J60" s="104"/>
      <c r="K60" s="104"/>
      <c r="L60" s="104"/>
      <c r="M60" s="235" t="s">
        <v>1812</v>
      </c>
      <c r="N60" s="235" t="s">
        <v>1758</v>
      </c>
      <c r="O60" s="235" t="s">
        <v>98</v>
      </c>
      <c r="P60" s="235"/>
      <c r="Q60" s="235" t="s">
        <v>1812</v>
      </c>
      <c r="R60" s="235" t="s">
        <v>1758</v>
      </c>
      <c r="S60" s="235" t="s">
        <v>98</v>
      </c>
    </row>
    <row r="61" spans="1:19" customFormat="1" ht="16.5" thickTop="1" thickBot="1" x14ac:dyDescent="0.3">
      <c r="B61" s="104"/>
      <c r="C61" s="104"/>
      <c r="D61" s="104"/>
      <c r="E61" s="104"/>
      <c r="F61" s="104"/>
      <c r="G61" s="104"/>
      <c r="H61" s="104" t="s">
        <v>1758</v>
      </c>
      <c r="I61" s="104" t="s">
        <v>1749</v>
      </c>
      <c r="J61" s="104"/>
      <c r="K61" s="104" t="s">
        <v>49</v>
      </c>
      <c r="L61" s="104"/>
      <c r="M61" s="235" t="s">
        <v>1812</v>
      </c>
      <c r="N61" s="235" t="s">
        <v>1758</v>
      </c>
      <c r="O61" s="235" t="s">
        <v>1749</v>
      </c>
      <c r="P61" s="235"/>
      <c r="Q61" s="235" t="s">
        <v>1812</v>
      </c>
      <c r="R61" s="235" t="s">
        <v>1758</v>
      </c>
      <c r="S61" s="235" t="s">
        <v>1749</v>
      </c>
    </row>
    <row r="62" spans="1:19" customFormat="1" ht="16.5" thickTop="1" thickBot="1" x14ac:dyDescent="0.3">
      <c r="B62" s="104" t="s">
        <v>908</v>
      </c>
      <c r="C62" s="104" t="s">
        <v>507</v>
      </c>
      <c r="D62" s="104" t="s">
        <v>748</v>
      </c>
      <c r="E62" s="104" t="s">
        <v>248</v>
      </c>
      <c r="F62" s="104" t="s">
        <v>342</v>
      </c>
      <c r="G62" s="104">
        <v>100020</v>
      </c>
      <c r="H62" s="104" t="s">
        <v>1758</v>
      </c>
      <c r="I62" s="104" t="s">
        <v>1747</v>
      </c>
      <c r="J62" s="104" t="s">
        <v>671</v>
      </c>
      <c r="K62" s="104" t="s">
        <v>45</v>
      </c>
      <c r="L62" s="104" t="s">
        <v>895</v>
      </c>
      <c r="M62" s="235"/>
      <c r="N62" s="235"/>
      <c r="O62" s="235"/>
      <c r="P62" s="235"/>
      <c r="Q62" s="235" t="s">
        <v>1812</v>
      </c>
      <c r="R62" s="235" t="s">
        <v>1758</v>
      </c>
      <c r="S62" s="235" t="s">
        <v>1747</v>
      </c>
    </row>
    <row r="63" spans="1:19" customFormat="1" ht="15" customHeight="1" thickTop="1" thickBot="1" x14ac:dyDescent="0.3">
      <c r="B63" s="104" t="s">
        <v>908</v>
      </c>
      <c r="C63" s="104" t="s">
        <v>507</v>
      </c>
      <c r="D63" s="104" t="s">
        <v>748</v>
      </c>
      <c r="E63" s="104" t="s">
        <v>47</v>
      </c>
      <c r="F63" s="104"/>
      <c r="G63" s="104" t="s">
        <v>891</v>
      </c>
      <c r="H63" s="104" t="s">
        <v>1758</v>
      </c>
      <c r="I63" s="104" t="s">
        <v>47</v>
      </c>
      <c r="J63" s="104" t="s">
        <v>892</v>
      </c>
      <c r="K63" s="104" t="s">
        <v>45</v>
      </c>
      <c r="L63" s="104" t="s">
        <v>902</v>
      </c>
      <c r="M63" s="235" t="s">
        <v>1812</v>
      </c>
      <c r="N63" s="235" t="s">
        <v>1758</v>
      </c>
      <c r="O63" s="235" t="s">
        <v>47</v>
      </c>
      <c r="P63" s="235"/>
      <c r="Q63" s="235" t="s">
        <v>1812</v>
      </c>
      <c r="R63" s="235" t="s">
        <v>1758</v>
      </c>
      <c r="S63" s="235" t="s">
        <v>47</v>
      </c>
    </row>
    <row r="64" spans="1:19" customFormat="1" ht="15" customHeight="1" thickTop="1" thickBot="1" x14ac:dyDescent="0.3">
      <c r="B64" s="104" t="s">
        <v>908</v>
      </c>
      <c r="C64" s="104" t="s">
        <v>507</v>
      </c>
      <c r="D64" s="104" t="s">
        <v>748</v>
      </c>
      <c r="E64" s="104" t="s">
        <v>565</v>
      </c>
      <c r="F64" s="104" t="s">
        <v>342</v>
      </c>
      <c r="G64" s="104">
        <v>123456</v>
      </c>
      <c r="H64" s="104" t="s">
        <v>1758</v>
      </c>
      <c r="I64" s="104" t="s">
        <v>1746</v>
      </c>
      <c r="J64" s="104" t="s">
        <v>565</v>
      </c>
      <c r="K64" s="104" t="s">
        <v>45</v>
      </c>
      <c r="L64" s="104" t="s">
        <v>896</v>
      </c>
      <c r="M64" s="235" t="s">
        <v>1812</v>
      </c>
      <c r="N64" s="235" t="s">
        <v>1758</v>
      </c>
      <c r="O64" s="235" t="s">
        <v>1746</v>
      </c>
      <c r="P64" s="235"/>
      <c r="Q64" s="235" t="s">
        <v>1812</v>
      </c>
      <c r="R64" s="235" t="s">
        <v>1758</v>
      </c>
      <c r="S64" s="235" t="s">
        <v>1746</v>
      </c>
    </row>
    <row r="65" spans="2:19" customFormat="1" ht="16.5" thickTop="1" thickBot="1" x14ac:dyDescent="0.3">
      <c r="B65" s="104"/>
      <c r="C65" s="104"/>
      <c r="D65" s="104"/>
      <c r="E65" s="104"/>
      <c r="F65" s="104"/>
      <c r="G65" s="104"/>
      <c r="H65" s="104" t="s">
        <v>1758</v>
      </c>
      <c r="I65" s="104" t="s">
        <v>1743</v>
      </c>
      <c r="J65" s="104"/>
      <c r="K65" s="104" t="s">
        <v>45</v>
      </c>
      <c r="L65" s="104" t="s">
        <v>1744</v>
      </c>
      <c r="M65" s="235" t="s">
        <v>1812</v>
      </c>
      <c r="N65" s="235" t="s">
        <v>1758</v>
      </c>
      <c r="O65" s="235" t="s">
        <v>1743</v>
      </c>
      <c r="P65" s="235"/>
      <c r="Q65" s="235" t="s">
        <v>1812</v>
      </c>
      <c r="R65" s="235" t="s">
        <v>1758</v>
      </c>
      <c r="S65" s="235" t="s">
        <v>1743</v>
      </c>
    </row>
    <row r="66" spans="2:19" customFormat="1" ht="16.5" thickTop="1" thickBot="1" x14ac:dyDescent="0.3">
      <c r="B66" s="104" t="s">
        <v>908</v>
      </c>
      <c r="C66" s="104" t="s">
        <v>507</v>
      </c>
      <c r="D66" s="104" t="s">
        <v>748</v>
      </c>
      <c r="E66" s="104" t="s">
        <v>740</v>
      </c>
      <c r="F66" s="104" t="s">
        <v>342</v>
      </c>
      <c r="G66" s="104"/>
      <c r="H66" s="104" t="s">
        <v>1758</v>
      </c>
      <c r="I66" s="104" t="s">
        <v>740</v>
      </c>
      <c r="J66" s="104" t="s">
        <v>741</v>
      </c>
      <c r="K66" s="104" t="s">
        <v>342</v>
      </c>
      <c r="L66" s="104" t="s">
        <v>901</v>
      </c>
      <c r="M66" s="235" t="s">
        <v>1812</v>
      </c>
      <c r="N66" s="235" t="s">
        <v>1758</v>
      </c>
      <c r="O66" s="235" t="s">
        <v>740</v>
      </c>
      <c r="P66" s="235"/>
      <c r="Q66" s="235" t="s">
        <v>1812</v>
      </c>
      <c r="R66" s="235" t="s">
        <v>1758</v>
      </c>
      <c r="S66" s="235" t="s">
        <v>740</v>
      </c>
    </row>
    <row r="67" spans="2:19" customFormat="1" ht="16.5" thickTop="1" thickBot="1" x14ac:dyDescent="0.3">
      <c r="B67" s="104"/>
      <c r="C67" s="104"/>
      <c r="D67" s="104"/>
      <c r="E67" s="104"/>
      <c r="F67" s="104"/>
      <c r="G67" s="104"/>
      <c r="H67" s="104" t="s">
        <v>1758</v>
      </c>
      <c r="I67" s="104" t="s">
        <v>1748</v>
      </c>
      <c r="J67" s="104"/>
      <c r="K67" s="104" t="s">
        <v>658</v>
      </c>
      <c r="L67" s="104"/>
      <c r="M67" s="235" t="s">
        <v>1812</v>
      </c>
      <c r="N67" s="235" t="s">
        <v>1758</v>
      </c>
      <c r="O67" s="235" t="s">
        <v>1748</v>
      </c>
      <c r="P67" s="235"/>
      <c r="Q67" s="235" t="s">
        <v>1812</v>
      </c>
      <c r="R67" s="235" t="s">
        <v>1758</v>
      </c>
      <c r="S67" s="235" t="s">
        <v>1748</v>
      </c>
    </row>
    <row r="68" spans="2:19" customFormat="1" ht="16.5" thickTop="1" thickBot="1" x14ac:dyDescent="0.3">
      <c r="B68" s="104"/>
      <c r="C68" s="104"/>
      <c r="D68" s="104"/>
      <c r="E68" s="104"/>
      <c r="F68" s="104"/>
      <c r="G68" s="104"/>
      <c r="H68" s="104" t="s">
        <v>1758</v>
      </c>
      <c r="I68" s="104" t="s">
        <v>1745</v>
      </c>
      <c r="J68" s="104"/>
      <c r="K68" s="104"/>
      <c r="L68" s="104"/>
      <c r="M68" s="235" t="s">
        <v>1812</v>
      </c>
      <c r="N68" s="235" t="s">
        <v>1758</v>
      </c>
      <c r="O68" s="235" t="s">
        <v>1745</v>
      </c>
      <c r="P68" s="235"/>
      <c r="Q68" s="235" t="s">
        <v>1812</v>
      </c>
      <c r="R68" s="235" t="s">
        <v>1758</v>
      </c>
      <c r="S68" s="235" t="s">
        <v>1745</v>
      </c>
    </row>
    <row r="69" spans="2:19" customFormat="1" ht="16.5" thickTop="1" thickBot="1" x14ac:dyDescent="0.3">
      <c r="B69" s="104"/>
      <c r="C69" s="104"/>
      <c r="D69" s="104"/>
      <c r="E69" s="104"/>
      <c r="F69" s="104"/>
      <c r="G69" s="104"/>
      <c r="H69" s="104" t="s">
        <v>1758</v>
      </c>
      <c r="I69" s="104" t="s">
        <v>1753</v>
      </c>
      <c r="J69" s="104"/>
      <c r="K69" s="104" t="s">
        <v>45</v>
      </c>
      <c r="L69" s="104"/>
      <c r="M69" s="235" t="s">
        <v>1812</v>
      </c>
      <c r="N69" s="235" t="s">
        <v>1758</v>
      </c>
      <c r="O69" s="235" t="s">
        <v>1753</v>
      </c>
      <c r="P69" s="235"/>
      <c r="Q69" s="235" t="s">
        <v>1812</v>
      </c>
      <c r="R69" s="235" t="s">
        <v>1758</v>
      </c>
      <c r="S69" s="235" t="s">
        <v>1753</v>
      </c>
    </row>
    <row r="70" spans="2:19" customFormat="1" ht="16.5" thickTop="1" thickBot="1" x14ac:dyDescent="0.3">
      <c r="B70" s="104"/>
      <c r="C70" s="104"/>
      <c r="D70" s="104"/>
      <c r="E70" s="104"/>
      <c r="F70" s="104"/>
      <c r="G70" s="104"/>
      <c r="H70" s="104"/>
      <c r="I70" s="104"/>
      <c r="J70" s="104"/>
      <c r="K70" s="104"/>
      <c r="L70" s="104"/>
      <c r="M70" s="235" t="s">
        <v>1813</v>
      </c>
      <c r="N70" s="235" t="s">
        <v>1758</v>
      </c>
      <c r="O70" s="235" t="s">
        <v>1746</v>
      </c>
      <c r="P70" s="235"/>
      <c r="Q70" s="237" t="s">
        <v>1813</v>
      </c>
      <c r="R70" s="237" t="s">
        <v>1758</v>
      </c>
      <c r="S70" s="237" t="s">
        <v>1746</v>
      </c>
    </row>
    <row r="71" spans="2:19" customFormat="1" ht="16.5" thickTop="1" thickBot="1" x14ac:dyDescent="0.3">
      <c r="B71" s="104"/>
      <c r="C71" s="104"/>
      <c r="D71" s="104"/>
      <c r="E71" s="104"/>
      <c r="F71" s="104"/>
      <c r="G71" s="104"/>
      <c r="H71" s="104"/>
      <c r="I71" s="104"/>
      <c r="J71" s="104"/>
      <c r="K71" s="104"/>
      <c r="L71" s="104"/>
      <c r="M71" s="235" t="s">
        <v>1813</v>
      </c>
      <c r="N71" s="235" t="s">
        <v>1758</v>
      </c>
      <c r="O71" s="235" t="s">
        <v>1816</v>
      </c>
      <c r="P71" s="235"/>
      <c r="Q71" s="237" t="s">
        <v>1813</v>
      </c>
      <c r="R71" s="237" t="s">
        <v>1758</v>
      </c>
      <c r="S71" s="237" t="s">
        <v>1816</v>
      </c>
    </row>
    <row r="72" spans="2:19" customFormat="1" ht="16.5" thickTop="1" thickBot="1" x14ac:dyDescent="0.3">
      <c r="B72" s="104" t="s">
        <v>601</v>
      </c>
      <c r="C72" s="104" t="s">
        <v>507</v>
      </c>
      <c r="D72" s="104" t="s">
        <v>345</v>
      </c>
      <c r="E72" s="104" t="s">
        <v>234</v>
      </c>
      <c r="F72" s="104" t="s">
        <v>106</v>
      </c>
      <c r="G72" s="104"/>
      <c r="H72" s="104" t="s">
        <v>1775</v>
      </c>
      <c r="I72" s="104" t="s">
        <v>399</v>
      </c>
      <c r="J72" s="104" t="s">
        <v>375</v>
      </c>
      <c r="K72" s="104" t="s">
        <v>106</v>
      </c>
      <c r="L72" s="104" t="s">
        <v>685</v>
      </c>
      <c r="M72" s="235" t="s">
        <v>1812</v>
      </c>
      <c r="N72" s="235" t="s">
        <v>1822</v>
      </c>
      <c r="O72" s="235" t="s">
        <v>399</v>
      </c>
      <c r="P72" s="235"/>
      <c r="Q72" s="235" t="s">
        <v>1812</v>
      </c>
      <c r="R72" s="235" t="s">
        <v>1822</v>
      </c>
      <c r="S72" s="235" t="s">
        <v>399</v>
      </c>
    </row>
    <row r="73" spans="2:19" customFormat="1" ht="16.5" thickTop="1" thickBot="1" x14ac:dyDescent="0.3">
      <c r="B73" s="104" t="s">
        <v>601</v>
      </c>
      <c r="C73" s="104" t="s">
        <v>507</v>
      </c>
      <c r="D73" s="104" t="s">
        <v>345</v>
      </c>
      <c r="E73" s="104" t="s">
        <v>343</v>
      </c>
      <c r="F73" s="104" t="s">
        <v>157</v>
      </c>
      <c r="G73" s="104"/>
      <c r="H73" s="104" t="s">
        <v>1775</v>
      </c>
      <c r="I73" s="104" t="s">
        <v>418</v>
      </c>
      <c r="J73" s="104" t="s">
        <v>388</v>
      </c>
      <c r="K73" s="104" t="s">
        <v>157</v>
      </c>
      <c r="L73" s="104" t="s">
        <v>684</v>
      </c>
      <c r="M73" s="235" t="s">
        <v>1812</v>
      </c>
      <c r="N73" s="235" t="s">
        <v>1822</v>
      </c>
      <c r="O73" s="235" t="s">
        <v>418</v>
      </c>
      <c r="P73" s="235"/>
      <c r="Q73" s="235" t="s">
        <v>1812</v>
      </c>
      <c r="R73" s="235" t="s">
        <v>1822</v>
      </c>
      <c r="S73" s="235" t="s">
        <v>418</v>
      </c>
    </row>
    <row r="74" spans="2:19" customFormat="1" ht="16.5" thickTop="1" thickBot="1" x14ac:dyDescent="0.3">
      <c r="B74" s="104"/>
      <c r="C74" s="104"/>
      <c r="D74" s="104"/>
      <c r="E74" s="104"/>
      <c r="F74" s="104"/>
      <c r="G74" s="104"/>
      <c r="H74" s="104"/>
      <c r="I74" s="104"/>
      <c r="J74" s="104"/>
      <c r="K74" s="104"/>
      <c r="L74" s="104"/>
      <c r="M74" s="235" t="s">
        <v>1813</v>
      </c>
      <c r="N74" s="235" t="s">
        <v>650</v>
      </c>
      <c r="O74" s="235" t="s">
        <v>1784</v>
      </c>
      <c r="P74" s="235"/>
      <c r="Q74" s="235" t="s">
        <v>1813</v>
      </c>
      <c r="R74" s="235" t="s">
        <v>650</v>
      </c>
      <c r="S74" s="235" t="s">
        <v>1784</v>
      </c>
    </row>
    <row r="75" spans="2:19" customFormat="1" ht="16.5" thickTop="1" thickBot="1" x14ac:dyDescent="0.3">
      <c r="B75" s="104"/>
      <c r="C75" s="104"/>
      <c r="D75" s="104"/>
      <c r="E75" s="104"/>
      <c r="F75" s="104"/>
      <c r="G75" s="104"/>
      <c r="H75" s="104"/>
      <c r="I75" s="104"/>
      <c r="J75" s="104"/>
      <c r="K75" s="104"/>
      <c r="L75" s="104"/>
      <c r="M75" s="235" t="s">
        <v>1813</v>
      </c>
      <c r="N75" s="235" t="s">
        <v>1822</v>
      </c>
      <c r="O75" s="235" t="s">
        <v>1817</v>
      </c>
      <c r="P75" s="235"/>
      <c r="Q75" s="235" t="s">
        <v>1813</v>
      </c>
      <c r="R75" s="235" t="s">
        <v>1822</v>
      </c>
      <c r="S75" s="235" t="s">
        <v>1817</v>
      </c>
    </row>
    <row r="76" spans="2:19" customFormat="1" ht="16.5" thickTop="1" thickBot="1" x14ac:dyDescent="0.3">
      <c r="B76" s="104"/>
      <c r="C76" s="104"/>
      <c r="D76" s="104"/>
      <c r="E76" s="104"/>
      <c r="F76" s="104"/>
      <c r="G76" s="104"/>
      <c r="H76" s="104"/>
      <c r="I76" s="104"/>
      <c r="J76" s="104"/>
      <c r="K76" s="104"/>
      <c r="L76" s="104"/>
      <c r="M76" s="235" t="s">
        <v>1813</v>
      </c>
      <c r="N76" s="235" t="s">
        <v>1822</v>
      </c>
      <c r="O76" s="235" t="s">
        <v>1629</v>
      </c>
      <c r="P76" s="235"/>
      <c r="Q76" s="235" t="s">
        <v>1813</v>
      </c>
      <c r="R76" s="235" t="s">
        <v>1822</v>
      </c>
      <c r="S76" s="235" t="s">
        <v>1629</v>
      </c>
    </row>
    <row r="77" spans="2:19" customFormat="1" ht="12.75" customHeight="1" thickTop="1" thickBot="1" x14ac:dyDescent="0.3">
      <c r="B77" s="104" t="s">
        <v>601</v>
      </c>
      <c r="C77" s="104" t="s">
        <v>507</v>
      </c>
      <c r="D77" s="104" t="s">
        <v>345</v>
      </c>
      <c r="E77" s="104" t="s">
        <v>169</v>
      </c>
      <c r="F77" s="104" t="s">
        <v>164</v>
      </c>
      <c r="G77" s="104">
        <v>0.5</v>
      </c>
      <c r="H77" s="104" t="s">
        <v>650</v>
      </c>
      <c r="I77" s="104" t="s">
        <v>400</v>
      </c>
      <c r="J77" s="104" t="s">
        <v>404</v>
      </c>
      <c r="K77" s="104" t="s">
        <v>164</v>
      </c>
      <c r="L77" s="104" t="s">
        <v>421</v>
      </c>
      <c r="M77" s="235" t="s">
        <v>1812</v>
      </c>
      <c r="N77" s="235" t="s">
        <v>650</v>
      </c>
      <c r="O77" s="235" t="s">
        <v>400</v>
      </c>
      <c r="P77" s="235"/>
      <c r="Q77" s="235" t="s">
        <v>1812</v>
      </c>
      <c r="R77" s="235" t="s">
        <v>650</v>
      </c>
      <c r="S77" s="235" t="s">
        <v>400</v>
      </c>
    </row>
    <row r="78" spans="2:19" customFormat="1" ht="16.5" thickTop="1" thickBot="1" x14ac:dyDescent="0.3">
      <c r="B78" s="104" t="s">
        <v>601</v>
      </c>
      <c r="C78" s="104" t="s">
        <v>507</v>
      </c>
      <c r="D78" s="104" t="s">
        <v>345</v>
      </c>
      <c r="E78" s="104" t="s">
        <v>171</v>
      </c>
      <c r="F78" s="104" t="s">
        <v>164</v>
      </c>
      <c r="G78" s="104">
        <v>0</v>
      </c>
      <c r="H78" s="104" t="s">
        <v>650</v>
      </c>
      <c r="I78" s="104" t="s">
        <v>401</v>
      </c>
      <c r="J78" s="104" t="s">
        <v>405</v>
      </c>
      <c r="K78" s="104" t="s">
        <v>164</v>
      </c>
      <c r="L78" s="104" t="s">
        <v>422</v>
      </c>
      <c r="M78" s="235" t="s">
        <v>1812</v>
      </c>
      <c r="N78" s="235" t="s">
        <v>650</v>
      </c>
      <c r="O78" s="235" t="s">
        <v>401</v>
      </c>
      <c r="P78" s="235"/>
      <c r="Q78" s="235" t="s">
        <v>1812</v>
      </c>
      <c r="R78" s="235" t="s">
        <v>650</v>
      </c>
      <c r="S78" s="235" t="s">
        <v>401</v>
      </c>
    </row>
    <row r="79" spans="2:19" customFormat="1" ht="16.5" thickTop="1" thickBot="1" x14ac:dyDescent="0.3">
      <c r="B79" s="104" t="s">
        <v>601</v>
      </c>
      <c r="C79" s="104" t="s">
        <v>507</v>
      </c>
      <c r="D79" s="104" t="s">
        <v>345</v>
      </c>
      <c r="E79" s="104" t="s">
        <v>173</v>
      </c>
      <c r="F79" s="104" t="s">
        <v>164</v>
      </c>
      <c r="G79" s="104">
        <v>0</v>
      </c>
      <c r="H79" s="104" t="s">
        <v>650</v>
      </c>
      <c r="I79" s="104" t="s">
        <v>402</v>
      </c>
      <c r="J79" s="104" t="s">
        <v>406</v>
      </c>
      <c r="K79" s="104" t="s">
        <v>164</v>
      </c>
      <c r="L79" s="104" t="s">
        <v>423</v>
      </c>
      <c r="M79" s="235" t="s">
        <v>1812</v>
      </c>
      <c r="N79" s="235" t="s">
        <v>650</v>
      </c>
      <c r="O79" s="235" t="s">
        <v>402</v>
      </c>
      <c r="P79" s="235"/>
      <c r="Q79" s="235" t="s">
        <v>1812</v>
      </c>
      <c r="R79" s="235" t="s">
        <v>650</v>
      </c>
      <c r="S79" s="235" t="s">
        <v>402</v>
      </c>
    </row>
    <row r="80" spans="2:19" customFormat="1" ht="16.5" thickTop="1" thickBot="1" x14ac:dyDescent="0.3">
      <c r="B80" s="104" t="s">
        <v>601</v>
      </c>
      <c r="C80" s="104" t="s">
        <v>507</v>
      </c>
      <c r="D80" s="104" t="s">
        <v>345</v>
      </c>
      <c r="E80" s="104" t="s">
        <v>175</v>
      </c>
      <c r="F80" s="104" t="s">
        <v>164</v>
      </c>
      <c r="G80" s="104">
        <v>0</v>
      </c>
      <c r="H80" s="104" t="s">
        <v>650</v>
      </c>
      <c r="I80" s="104" t="s">
        <v>403</v>
      </c>
      <c r="J80" s="104" t="s">
        <v>407</v>
      </c>
      <c r="K80" s="104" t="s">
        <v>164</v>
      </c>
      <c r="L80" s="104" t="s">
        <v>424</v>
      </c>
      <c r="M80" s="235" t="s">
        <v>1812</v>
      </c>
      <c r="N80" s="235" t="s">
        <v>650</v>
      </c>
      <c r="O80" s="235" t="s">
        <v>403</v>
      </c>
      <c r="P80" s="235"/>
      <c r="Q80" s="235" t="s">
        <v>1812</v>
      </c>
      <c r="R80" s="235" t="s">
        <v>650</v>
      </c>
      <c r="S80" s="235" t="s">
        <v>403</v>
      </c>
    </row>
    <row r="81" spans="2:19" customFormat="1" ht="16.5" thickTop="1" thickBot="1" x14ac:dyDescent="0.3">
      <c r="B81" s="104" t="s">
        <v>601</v>
      </c>
      <c r="C81" s="104" t="s">
        <v>507</v>
      </c>
      <c r="D81" s="104" t="s">
        <v>345</v>
      </c>
      <c r="E81" s="104" t="s">
        <v>168</v>
      </c>
      <c r="F81" s="104" t="s">
        <v>157</v>
      </c>
      <c r="G81" s="104"/>
      <c r="H81" s="104" t="s">
        <v>650</v>
      </c>
      <c r="I81" s="104" t="s">
        <v>168</v>
      </c>
      <c r="J81" s="104" t="s">
        <v>410</v>
      </c>
      <c r="K81" s="104" t="s">
        <v>157</v>
      </c>
      <c r="L81" s="104" t="s">
        <v>373</v>
      </c>
      <c r="M81" s="235" t="s">
        <v>1812</v>
      </c>
      <c r="N81" s="235" t="s">
        <v>650</v>
      </c>
      <c r="O81" s="235" t="s">
        <v>168</v>
      </c>
      <c r="P81" s="235"/>
      <c r="Q81" s="235" t="s">
        <v>1812</v>
      </c>
      <c r="R81" s="235" t="s">
        <v>650</v>
      </c>
      <c r="S81" s="235" t="s">
        <v>168</v>
      </c>
    </row>
    <row r="82" spans="2:19" customFormat="1" ht="16.5" thickTop="1" thickBot="1" x14ac:dyDescent="0.3">
      <c r="B82" s="104" t="s">
        <v>601</v>
      </c>
      <c r="C82" s="104" t="s">
        <v>507</v>
      </c>
      <c r="D82" s="104" t="s">
        <v>345</v>
      </c>
      <c r="E82" s="104" t="s">
        <v>2</v>
      </c>
      <c r="F82" s="104" t="s">
        <v>157</v>
      </c>
      <c r="G82" s="104">
        <v>4</v>
      </c>
      <c r="H82" s="104" t="s">
        <v>650</v>
      </c>
      <c r="I82" s="104" t="s">
        <v>569</v>
      </c>
      <c r="J82" s="104" t="s">
        <v>332</v>
      </c>
      <c r="K82" s="104" t="s">
        <v>157</v>
      </c>
      <c r="L82" s="104" t="s">
        <v>688</v>
      </c>
      <c r="M82" s="235" t="s">
        <v>1812</v>
      </c>
      <c r="N82" s="235" t="s">
        <v>650</v>
      </c>
      <c r="O82" s="235" t="s">
        <v>569</v>
      </c>
      <c r="P82" s="235"/>
      <c r="Q82" s="235" t="s">
        <v>1812</v>
      </c>
      <c r="R82" s="235" t="s">
        <v>650</v>
      </c>
      <c r="S82" s="235" t="s">
        <v>569</v>
      </c>
    </row>
    <row r="83" spans="2:19" customFormat="1" ht="16.5" thickTop="1" thickBot="1" x14ac:dyDescent="0.3">
      <c r="B83" s="104" t="s">
        <v>601</v>
      </c>
      <c r="C83" s="104" t="s">
        <v>507</v>
      </c>
      <c r="D83" s="104" t="s">
        <v>345</v>
      </c>
      <c r="E83" s="104" t="s">
        <v>237</v>
      </c>
      <c r="F83" s="104" t="s">
        <v>45</v>
      </c>
      <c r="G83" s="104"/>
      <c r="H83" s="104" t="s">
        <v>650</v>
      </c>
      <c r="I83" s="104" t="s">
        <v>237</v>
      </c>
      <c r="J83" s="104" t="s">
        <v>417</v>
      </c>
      <c r="K83" s="104" t="s">
        <v>45</v>
      </c>
      <c r="L83" s="104" t="s">
        <v>416</v>
      </c>
      <c r="M83" s="235" t="s">
        <v>1812</v>
      </c>
      <c r="N83" s="235" t="s">
        <v>650</v>
      </c>
      <c r="O83" s="235" t="s">
        <v>237</v>
      </c>
      <c r="P83" s="235"/>
      <c r="Q83" s="235" t="s">
        <v>1812</v>
      </c>
      <c r="R83" s="235" t="s">
        <v>650</v>
      </c>
      <c r="S83" s="235" t="s">
        <v>237</v>
      </c>
    </row>
    <row r="84" spans="2:19" customFormat="1" ht="16.5" thickTop="1" thickBot="1" x14ac:dyDescent="0.3">
      <c r="B84" s="104" t="s">
        <v>601</v>
      </c>
      <c r="C84" s="104" t="s">
        <v>507</v>
      </c>
      <c r="D84" s="104" t="s">
        <v>38</v>
      </c>
      <c r="E84" s="104" t="s">
        <v>526</v>
      </c>
      <c r="F84" s="104"/>
      <c r="G84" s="104">
        <v>1001828</v>
      </c>
      <c r="H84" s="104" t="s">
        <v>650</v>
      </c>
      <c r="I84" s="104" t="s">
        <v>1798</v>
      </c>
      <c r="J84" s="104" t="s">
        <v>525</v>
      </c>
      <c r="K84" s="104" t="s">
        <v>342</v>
      </c>
      <c r="L84" s="104"/>
      <c r="M84" s="235" t="s">
        <v>1812</v>
      </c>
      <c r="N84" s="235" t="s">
        <v>650</v>
      </c>
      <c r="O84" s="235" t="s">
        <v>1798</v>
      </c>
      <c r="P84" s="235"/>
      <c r="Q84" s="235" t="s">
        <v>1812</v>
      </c>
      <c r="R84" s="235" t="s">
        <v>650</v>
      </c>
      <c r="S84" s="235" t="s">
        <v>1798</v>
      </c>
    </row>
    <row r="85" spans="2:19" customFormat="1" ht="16.5" thickTop="1" thickBot="1" x14ac:dyDescent="0.3">
      <c r="B85" s="104" t="s">
        <v>601</v>
      </c>
      <c r="C85" s="104" t="s">
        <v>507</v>
      </c>
      <c r="D85" s="104" t="s">
        <v>345</v>
      </c>
      <c r="E85" s="104" t="s">
        <v>34</v>
      </c>
      <c r="F85" s="104" t="s">
        <v>661</v>
      </c>
      <c r="G85" s="104" t="s">
        <v>202</v>
      </c>
      <c r="H85" s="104" t="s">
        <v>650</v>
      </c>
      <c r="I85" s="104" t="s">
        <v>576</v>
      </c>
      <c r="J85" s="104" t="s">
        <v>332</v>
      </c>
      <c r="K85" s="104" t="s">
        <v>201</v>
      </c>
      <c r="L85" s="104" t="s">
        <v>687</v>
      </c>
      <c r="M85" s="235" t="s">
        <v>1812</v>
      </c>
      <c r="N85" s="235" t="s">
        <v>650</v>
      </c>
      <c r="O85" s="235" t="s">
        <v>576</v>
      </c>
      <c r="P85" s="235"/>
      <c r="Q85" s="235"/>
      <c r="R85" s="235"/>
      <c r="S85" s="235"/>
    </row>
    <row r="86" spans="2:19" customFormat="1" ht="16.5" thickTop="1" thickBot="1" x14ac:dyDescent="0.3">
      <c r="B86" s="104" t="s">
        <v>601</v>
      </c>
      <c r="C86" s="104" t="s">
        <v>507</v>
      </c>
      <c r="D86" s="104" t="s">
        <v>345</v>
      </c>
      <c r="E86" s="104" t="s">
        <v>196</v>
      </c>
      <c r="F86" s="104" t="s">
        <v>157</v>
      </c>
      <c r="G86" s="104"/>
      <c r="H86" s="104" t="s">
        <v>650</v>
      </c>
      <c r="I86" s="104" t="s">
        <v>1773</v>
      </c>
      <c r="J86" s="104" t="s">
        <v>396</v>
      </c>
      <c r="K86" s="104" t="s">
        <v>157</v>
      </c>
      <c r="L86" s="104" t="s">
        <v>563</v>
      </c>
      <c r="M86" s="235" t="s">
        <v>1812</v>
      </c>
      <c r="N86" s="235" t="s">
        <v>650</v>
      </c>
      <c r="O86" s="235" t="s">
        <v>1773</v>
      </c>
      <c r="P86" s="235"/>
      <c r="Q86" s="235" t="s">
        <v>1812</v>
      </c>
      <c r="R86" s="235" t="s">
        <v>650</v>
      </c>
      <c r="S86" s="235" t="s">
        <v>1773</v>
      </c>
    </row>
    <row r="87" spans="2:19" customFormat="1" ht="16.5" thickTop="1" thickBot="1" x14ac:dyDescent="0.3">
      <c r="B87" s="104" t="s">
        <v>601</v>
      </c>
      <c r="C87" s="104" t="s">
        <v>507</v>
      </c>
      <c r="D87" s="104" t="s">
        <v>345</v>
      </c>
      <c r="E87" s="104" t="s">
        <v>3</v>
      </c>
      <c r="F87" s="104" t="s">
        <v>179</v>
      </c>
      <c r="G87" s="104"/>
      <c r="H87" s="104" t="s">
        <v>650</v>
      </c>
      <c r="I87" s="104" t="s">
        <v>1746</v>
      </c>
      <c r="J87" s="104" t="s">
        <v>565</v>
      </c>
      <c r="K87" s="104" t="s">
        <v>179</v>
      </c>
      <c r="L87" s="104" t="s">
        <v>411</v>
      </c>
      <c r="M87" s="235" t="s">
        <v>1812</v>
      </c>
      <c r="N87" s="235" t="s">
        <v>650</v>
      </c>
      <c r="O87" s="235" t="s">
        <v>1746</v>
      </c>
      <c r="P87" s="235"/>
      <c r="Q87" s="235" t="s">
        <v>1812</v>
      </c>
      <c r="R87" s="235" t="s">
        <v>650</v>
      </c>
      <c r="S87" s="235" t="s">
        <v>1746</v>
      </c>
    </row>
    <row r="88" spans="2:19" customFormat="1" ht="16.5" thickTop="1" thickBot="1" x14ac:dyDescent="0.3">
      <c r="B88" s="104" t="s">
        <v>601</v>
      </c>
      <c r="C88" s="104" t="s">
        <v>507</v>
      </c>
      <c r="D88" s="104" t="s">
        <v>345</v>
      </c>
      <c r="E88" s="104" t="s">
        <v>22</v>
      </c>
      <c r="F88" s="104" t="s">
        <v>157</v>
      </c>
      <c r="G88" s="104"/>
      <c r="H88" s="104" t="s">
        <v>650</v>
      </c>
      <c r="I88" s="104" t="s">
        <v>1784</v>
      </c>
      <c r="J88" s="104" t="s">
        <v>332</v>
      </c>
      <c r="K88" s="104" t="s">
        <v>157</v>
      </c>
      <c r="L88" s="104" t="s">
        <v>686</v>
      </c>
      <c r="M88" s="235" t="s">
        <v>1812</v>
      </c>
      <c r="N88" s="235" t="s">
        <v>650</v>
      </c>
      <c r="O88" s="235" t="s">
        <v>1784</v>
      </c>
      <c r="P88" s="235"/>
      <c r="Q88" s="235" t="s">
        <v>1812</v>
      </c>
      <c r="R88" s="235" t="s">
        <v>650</v>
      </c>
      <c r="S88" s="235" t="s">
        <v>1784</v>
      </c>
    </row>
    <row r="89" spans="2:19" customFormat="1" ht="16.5" thickTop="1" thickBot="1" x14ac:dyDescent="0.3">
      <c r="B89" s="104" t="s">
        <v>601</v>
      </c>
      <c r="C89" s="104" t="s">
        <v>507</v>
      </c>
      <c r="D89" s="104" t="s">
        <v>345</v>
      </c>
      <c r="E89" s="104" t="s">
        <v>209</v>
      </c>
      <c r="F89" s="104" t="s">
        <v>157</v>
      </c>
      <c r="G89" s="104"/>
      <c r="H89" s="104" t="s">
        <v>650</v>
      </c>
      <c r="I89" s="104" t="s">
        <v>544</v>
      </c>
      <c r="J89" s="104" t="s">
        <v>332</v>
      </c>
      <c r="K89" s="104" t="s">
        <v>157</v>
      </c>
      <c r="L89" s="104" t="s">
        <v>395</v>
      </c>
      <c r="M89" s="235"/>
      <c r="N89" s="235"/>
      <c r="O89" s="235"/>
      <c r="P89" s="235"/>
      <c r="Q89" s="235" t="s">
        <v>1812</v>
      </c>
      <c r="R89" s="235" t="s">
        <v>650</v>
      </c>
      <c r="S89" s="235" t="s">
        <v>544</v>
      </c>
    </row>
    <row r="90" spans="2:19" customFormat="1" ht="16.5" thickTop="1" thickBot="1" x14ac:dyDescent="0.3">
      <c r="B90" s="104" t="s">
        <v>601</v>
      </c>
      <c r="C90" s="104" t="s">
        <v>507</v>
      </c>
      <c r="D90" s="104" t="s">
        <v>345</v>
      </c>
      <c r="E90" s="104" t="s">
        <v>17</v>
      </c>
      <c r="F90" s="104" t="s">
        <v>179</v>
      </c>
      <c r="G90" s="104"/>
      <c r="H90" s="104" t="s">
        <v>650</v>
      </c>
      <c r="I90" s="104" t="s">
        <v>1789</v>
      </c>
      <c r="J90" s="104"/>
      <c r="K90" s="104"/>
      <c r="L90" s="104"/>
      <c r="M90" s="235" t="s">
        <v>1812</v>
      </c>
      <c r="N90" s="235" t="s">
        <v>650</v>
      </c>
      <c r="O90" s="235"/>
      <c r="P90" s="235"/>
      <c r="Q90" s="235" t="s">
        <v>1812</v>
      </c>
      <c r="R90" s="235" t="s">
        <v>650</v>
      </c>
      <c r="S90" s="235" t="s">
        <v>1789</v>
      </c>
    </row>
    <row r="91" spans="2:19" customFormat="1" ht="16.5" thickTop="1" thickBot="1" x14ac:dyDescent="0.3">
      <c r="B91" s="104" t="s">
        <v>601</v>
      </c>
      <c r="C91" s="104" t="s">
        <v>507</v>
      </c>
      <c r="D91" s="104" t="s">
        <v>345</v>
      </c>
      <c r="E91" s="104" t="s">
        <v>170</v>
      </c>
      <c r="F91" s="104" t="s">
        <v>164</v>
      </c>
      <c r="G91" s="104">
        <v>0.54166666666666663</v>
      </c>
      <c r="H91" s="104" t="s">
        <v>650</v>
      </c>
      <c r="I91" s="104" t="s">
        <v>408</v>
      </c>
      <c r="J91" s="104" t="s">
        <v>412</v>
      </c>
      <c r="K91" s="104" t="s">
        <v>164</v>
      </c>
      <c r="L91" s="104" t="s">
        <v>672</v>
      </c>
      <c r="M91" s="235" t="s">
        <v>1812</v>
      </c>
      <c r="N91" s="235" t="s">
        <v>650</v>
      </c>
      <c r="O91" s="235" t="s">
        <v>408</v>
      </c>
      <c r="P91" s="235"/>
      <c r="Q91" s="235" t="s">
        <v>1812</v>
      </c>
      <c r="R91" s="235" t="s">
        <v>650</v>
      </c>
      <c r="S91" s="235" t="s">
        <v>408</v>
      </c>
    </row>
    <row r="92" spans="2:19" customFormat="1" ht="16.5" thickTop="1" thickBot="1" x14ac:dyDescent="0.3">
      <c r="B92" s="104" t="s">
        <v>601</v>
      </c>
      <c r="C92" s="104" t="s">
        <v>507</v>
      </c>
      <c r="D92" s="104" t="s">
        <v>345</v>
      </c>
      <c r="E92" s="104" t="s">
        <v>172</v>
      </c>
      <c r="F92" s="104" t="s">
        <v>164</v>
      </c>
      <c r="G92" s="104">
        <v>0</v>
      </c>
      <c r="H92" s="104" t="s">
        <v>650</v>
      </c>
      <c r="I92" s="104" t="s">
        <v>172</v>
      </c>
      <c r="J92" s="104" t="s">
        <v>413</v>
      </c>
      <c r="K92" s="104" t="s">
        <v>164</v>
      </c>
      <c r="L92" s="104" t="s">
        <v>420</v>
      </c>
      <c r="M92" s="235" t="s">
        <v>1812</v>
      </c>
      <c r="N92" s="235" t="s">
        <v>650</v>
      </c>
      <c r="O92" s="235" t="s">
        <v>172</v>
      </c>
      <c r="P92" s="235"/>
      <c r="Q92" s="235" t="s">
        <v>1812</v>
      </c>
      <c r="R92" s="235" t="s">
        <v>650</v>
      </c>
      <c r="S92" s="235" t="s">
        <v>172</v>
      </c>
    </row>
    <row r="93" spans="2:19" customFormat="1" ht="16.5" thickTop="1" thickBot="1" x14ac:dyDescent="0.3">
      <c r="B93" s="104" t="s">
        <v>601</v>
      </c>
      <c r="C93" s="104" t="s">
        <v>507</v>
      </c>
      <c r="D93" s="104" t="s">
        <v>345</v>
      </c>
      <c r="E93" s="104" t="s">
        <v>174</v>
      </c>
      <c r="F93" s="104" t="s">
        <v>164</v>
      </c>
      <c r="G93" s="104">
        <v>0</v>
      </c>
      <c r="H93" s="104" t="s">
        <v>650</v>
      </c>
      <c r="I93" s="104" t="s">
        <v>174</v>
      </c>
      <c r="J93" s="104" t="s">
        <v>414</v>
      </c>
      <c r="K93" s="104" t="s">
        <v>164</v>
      </c>
      <c r="L93" s="104" t="s">
        <v>420</v>
      </c>
      <c r="M93" s="235" t="s">
        <v>1812</v>
      </c>
      <c r="N93" s="235" t="s">
        <v>650</v>
      </c>
      <c r="O93" s="235" t="s">
        <v>174</v>
      </c>
      <c r="P93" s="235"/>
      <c r="Q93" s="235" t="s">
        <v>1812</v>
      </c>
      <c r="R93" s="235" t="s">
        <v>650</v>
      </c>
      <c r="S93" s="235" t="s">
        <v>174</v>
      </c>
    </row>
    <row r="94" spans="2:19" customFormat="1" ht="16.5" thickTop="1" thickBot="1" x14ac:dyDescent="0.3">
      <c r="B94" s="104" t="s">
        <v>601</v>
      </c>
      <c r="C94" s="104" t="s">
        <v>507</v>
      </c>
      <c r="D94" s="104" t="s">
        <v>345</v>
      </c>
      <c r="E94" s="104" t="s">
        <v>176</v>
      </c>
      <c r="F94" s="104" t="s">
        <v>164</v>
      </c>
      <c r="G94" s="104">
        <v>0</v>
      </c>
      <c r="H94" s="104" t="s">
        <v>650</v>
      </c>
      <c r="I94" s="104" t="s">
        <v>176</v>
      </c>
      <c r="J94" s="104" t="s">
        <v>415</v>
      </c>
      <c r="K94" s="104" t="s">
        <v>164</v>
      </c>
      <c r="L94" s="104" t="s">
        <v>420</v>
      </c>
      <c r="M94" s="235" t="s">
        <v>1812</v>
      </c>
      <c r="N94" s="235" t="s">
        <v>650</v>
      </c>
      <c r="O94" s="235" t="s">
        <v>176</v>
      </c>
      <c r="P94" s="235"/>
      <c r="Q94" s="235" t="s">
        <v>1812</v>
      </c>
      <c r="R94" s="235" t="s">
        <v>650</v>
      </c>
      <c r="S94" s="235" t="s">
        <v>176</v>
      </c>
    </row>
    <row r="95" spans="2:19" customFormat="1" ht="16.5" thickTop="1" thickBot="1" x14ac:dyDescent="0.3">
      <c r="B95" s="104" t="s">
        <v>601</v>
      </c>
      <c r="C95" s="104" t="s">
        <v>507</v>
      </c>
      <c r="D95" s="104" t="s">
        <v>345</v>
      </c>
      <c r="E95" s="104" t="s">
        <v>180</v>
      </c>
      <c r="F95" s="104" t="s">
        <v>157</v>
      </c>
      <c r="G95" s="104">
        <v>1</v>
      </c>
      <c r="H95" s="104" t="s">
        <v>650</v>
      </c>
      <c r="I95" s="104" t="s">
        <v>573</v>
      </c>
      <c r="J95" s="104" t="s">
        <v>332</v>
      </c>
      <c r="K95" s="104" t="s">
        <v>1066</v>
      </c>
      <c r="L95" s="104" t="s">
        <v>592</v>
      </c>
      <c r="M95" s="235" t="s">
        <v>1812</v>
      </c>
      <c r="N95" s="235" t="s">
        <v>650</v>
      </c>
      <c r="O95" s="235" t="s">
        <v>573</v>
      </c>
      <c r="P95" s="235"/>
      <c r="Q95" s="235" t="s">
        <v>1812</v>
      </c>
      <c r="R95" s="235" t="s">
        <v>650</v>
      </c>
      <c r="S95" s="235" t="s">
        <v>573</v>
      </c>
    </row>
    <row r="96" spans="2:19" customFormat="1" ht="16.5" thickTop="1" thickBot="1" x14ac:dyDescent="0.3">
      <c r="B96" s="104"/>
      <c r="C96" s="104"/>
      <c r="D96" s="104"/>
      <c r="E96" s="104"/>
      <c r="F96" s="104"/>
      <c r="G96" s="104"/>
      <c r="H96" s="104"/>
      <c r="I96" s="104"/>
      <c r="J96" s="104"/>
      <c r="K96" s="104"/>
      <c r="L96" s="104"/>
      <c r="M96" s="235" t="s">
        <v>1829</v>
      </c>
      <c r="N96" s="235" t="s">
        <v>650</v>
      </c>
      <c r="O96" s="235" t="s">
        <v>389</v>
      </c>
      <c r="P96" s="235"/>
      <c r="Q96" s="235"/>
      <c r="R96" s="235"/>
      <c r="S96" s="235"/>
    </row>
    <row r="97" spans="2:19" customFormat="1" ht="16.5" thickTop="1" thickBot="1" x14ac:dyDescent="0.3">
      <c r="B97" s="104" t="s">
        <v>601</v>
      </c>
      <c r="C97" s="104" t="s">
        <v>594</v>
      </c>
      <c r="D97" s="104" t="s">
        <v>345</v>
      </c>
      <c r="E97" s="104" t="s">
        <v>159</v>
      </c>
      <c r="F97" s="104" t="s">
        <v>157</v>
      </c>
      <c r="G97" s="104" t="s">
        <v>324</v>
      </c>
      <c r="H97" s="104" t="s">
        <v>650</v>
      </c>
      <c r="I97" s="104" t="s">
        <v>1776</v>
      </c>
      <c r="J97" s="104" t="s">
        <v>332</v>
      </c>
      <c r="K97" s="104" t="s">
        <v>130</v>
      </c>
      <c r="L97" s="104" t="s">
        <v>666</v>
      </c>
      <c r="M97" s="235" t="s">
        <v>1812</v>
      </c>
      <c r="N97" s="235" t="s">
        <v>650</v>
      </c>
      <c r="O97" s="235" t="s">
        <v>1776</v>
      </c>
      <c r="P97" s="235"/>
      <c r="Q97" s="235" t="s">
        <v>1812</v>
      </c>
      <c r="R97" s="235" t="s">
        <v>650</v>
      </c>
      <c r="S97" s="235" t="s">
        <v>1776</v>
      </c>
    </row>
    <row r="98" spans="2:19" customFormat="1" ht="16.5" thickTop="1" thickBot="1" x14ac:dyDescent="0.3">
      <c r="B98" s="104" t="s">
        <v>601</v>
      </c>
      <c r="C98" s="104" t="s">
        <v>507</v>
      </c>
      <c r="D98" s="104" t="s">
        <v>345</v>
      </c>
      <c r="E98" s="104" t="s">
        <v>205</v>
      </c>
      <c r="F98" s="104" t="s">
        <v>157</v>
      </c>
      <c r="G98" s="104"/>
      <c r="H98" s="104" t="s">
        <v>650</v>
      </c>
      <c r="I98" s="104" t="s">
        <v>205</v>
      </c>
      <c r="J98" s="104" t="s">
        <v>332</v>
      </c>
      <c r="K98" s="104" t="s">
        <v>157</v>
      </c>
      <c r="L98" s="104" t="s">
        <v>683</v>
      </c>
      <c r="M98" s="235" t="s">
        <v>1812</v>
      </c>
      <c r="N98" s="235" t="s">
        <v>650</v>
      </c>
      <c r="O98" s="235" t="s">
        <v>205</v>
      </c>
      <c r="P98" s="235"/>
      <c r="Q98" s="235" t="s">
        <v>1812</v>
      </c>
      <c r="R98" s="235" t="s">
        <v>650</v>
      </c>
      <c r="S98" s="235" t="s">
        <v>205</v>
      </c>
    </row>
    <row r="99" spans="2:19" customFormat="1" ht="16.5" thickTop="1" thickBot="1" x14ac:dyDescent="0.3">
      <c r="B99" s="104" t="s">
        <v>601</v>
      </c>
      <c r="C99" s="104" t="s">
        <v>507</v>
      </c>
      <c r="D99" s="104" t="s">
        <v>345</v>
      </c>
      <c r="E99" s="104" t="s">
        <v>199</v>
      </c>
      <c r="F99" s="104" t="s">
        <v>157</v>
      </c>
      <c r="G99" s="104"/>
      <c r="H99" s="104" t="s">
        <v>650</v>
      </c>
      <c r="I99" s="104" t="s">
        <v>570</v>
      </c>
      <c r="J99" s="104" t="s">
        <v>332</v>
      </c>
      <c r="K99" s="104" t="s">
        <v>157</v>
      </c>
      <c r="L99" s="104" t="s">
        <v>681</v>
      </c>
      <c r="M99" s="235" t="s">
        <v>1812</v>
      </c>
      <c r="N99" s="235" t="s">
        <v>650</v>
      </c>
      <c r="O99" s="235" t="s">
        <v>570</v>
      </c>
      <c r="P99" s="235"/>
      <c r="Q99" s="235" t="s">
        <v>1812</v>
      </c>
      <c r="R99" s="235" t="s">
        <v>650</v>
      </c>
      <c r="S99" s="235" t="s">
        <v>570</v>
      </c>
    </row>
    <row r="100" spans="2:19" customFormat="1" ht="12.75" customHeight="1" thickTop="1" thickBot="1" x14ac:dyDescent="0.3">
      <c r="B100" s="104" t="s">
        <v>601</v>
      </c>
      <c r="C100" s="104" t="s">
        <v>507</v>
      </c>
      <c r="D100" s="104" t="s">
        <v>345</v>
      </c>
      <c r="E100" s="104" t="s">
        <v>10</v>
      </c>
      <c r="F100" s="104" t="s">
        <v>188</v>
      </c>
      <c r="G100" s="104" t="s">
        <v>253</v>
      </c>
      <c r="H100" s="104" t="s">
        <v>650</v>
      </c>
      <c r="I100" s="104" t="s">
        <v>380</v>
      </c>
      <c r="J100" s="104" t="s">
        <v>419</v>
      </c>
      <c r="K100" s="104" t="s">
        <v>188</v>
      </c>
      <c r="L100" s="104" t="s">
        <v>341</v>
      </c>
      <c r="M100" s="235" t="s">
        <v>1812</v>
      </c>
      <c r="N100" s="235" t="s">
        <v>650</v>
      </c>
      <c r="O100" s="235" t="s">
        <v>380</v>
      </c>
      <c r="P100" s="235"/>
      <c r="Q100" s="235" t="s">
        <v>1812</v>
      </c>
      <c r="R100" s="235" t="s">
        <v>650</v>
      </c>
      <c r="S100" s="235" t="s">
        <v>380</v>
      </c>
    </row>
    <row r="101" spans="2:19" customFormat="1" ht="16.5" thickTop="1" thickBot="1" x14ac:dyDescent="0.3">
      <c r="B101" s="104" t="s">
        <v>601</v>
      </c>
      <c r="C101" s="104" t="s">
        <v>507</v>
      </c>
      <c r="D101" s="104" t="s">
        <v>345</v>
      </c>
      <c r="E101" s="104" t="s">
        <v>166</v>
      </c>
      <c r="F101" s="104" t="s">
        <v>49</v>
      </c>
      <c r="G101" s="104" t="s">
        <v>50</v>
      </c>
      <c r="H101" s="104" t="s">
        <v>650</v>
      </c>
      <c r="I101" s="104" t="s">
        <v>1781</v>
      </c>
      <c r="J101" s="104" t="s">
        <v>332</v>
      </c>
      <c r="K101" s="104" t="s">
        <v>162</v>
      </c>
      <c r="L101" s="104" t="s">
        <v>771</v>
      </c>
      <c r="M101" s="235" t="s">
        <v>1812</v>
      </c>
      <c r="N101" s="235" t="s">
        <v>650</v>
      </c>
      <c r="O101" s="235" t="s">
        <v>1781</v>
      </c>
      <c r="P101" s="235"/>
      <c r="Q101" s="235" t="s">
        <v>1812</v>
      </c>
      <c r="R101" s="235" t="s">
        <v>650</v>
      </c>
      <c r="S101" s="235" t="s">
        <v>1781</v>
      </c>
    </row>
    <row r="102" spans="2:19" customFormat="1" ht="16.5" thickTop="1" thickBot="1" x14ac:dyDescent="0.3">
      <c r="B102" s="104" t="s">
        <v>601</v>
      </c>
      <c r="C102" s="104" t="s">
        <v>507</v>
      </c>
      <c r="D102" s="104" t="s">
        <v>345</v>
      </c>
      <c r="E102" s="104" t="s">
        <v>167</v>
      </c>
      <c r="F102" s="104" t="s">
        <v>164</v>
      </c>
      <c r="G102" s="104" t="s">
        <v>165</v>
      </c>
      <c r="H102" s="104" t="s">
        <v>650</v>
      </c>
      <c r="I102" s="104" t="s">
        <v>1783</v>
      </c>
      <c r="J102" s="104" t="s">
        <v>376</v>
      </c>
      <c r="K102" s="104" t="s">
        <v>56</v>
      </c>
      <c r="L102" s="104" t="s">
        <v>560</v>
      </c>
      <c r="M102" s="235" t="s">
        <v>1812</v>
      </c>
      <c r="N102" s="235" t="s">
        <v>650</v>
      </c>
      <c r="O102" s="235" t="s">
        <v>1783</v>
      </c>
      <c r="P102" s="235"/>
      <c r="Q102" s="235" t="s">
        <v>1812</v>
      </c>
      <c r="R102" s="235" t="s">
        <v>650</v>
      </c>
      <c r="S102" s="235" t="s">
        <v>1783</v>
      </c>
    </row>
    <row r="103" spans="2:19" customFormat="1" ht="16.5" thickTop="1" thickBot="1" x14ac:dyDescent="0.3">
      <c r="B103" s="104" t="s">
        <v>601</v>
      </c>
      <c r="C103" s="104" t="s">
        <v>507</v>
      </c>
      <c r="D103" s="104" t="s">
        <v>345</v>
      </c>
      <c r="E103" s="104" t="s">
        <v>161</v>
      </c>
      <c r="F103" s="104" t="s">
        <v>49</v>
      </c>
      <c r="G103" s="104" t="s">
        <v>50</v>
      </c>
      <c r="H103" s="104" t="s">
        <v>650</v>
      </c>
      <c r="I103" s="104" t="s">
        <v>1782</v>
      </c>
      <c r="J103" s="104" t="s">
        <v>332</v>
      </c>
      <c r="K103" s="104" t="s">
        <v>162</v>
      </c>
      <c r="L103" s="104" t="s">
        <v>772</v>
      </c>
      <c r="M103" s="235" t="s">
        <v>1812</v>
      </c>
      <c r="N103" s="235" t="s">
        <v>650</v>
      </c>
      <c r="O103" s="235" t="s">
        <v>1782</v>
      </c>
      <c r="P103" s="235"/>
      <c r="Q103" s="235" t="s">
        <v>1812</v>
      </c>
      <c r="R103" s="235" t="s">
        <v>650</v>
      </c>
      <c r="S103" s="235" t="s">
        <v>1782</v>
      </c>
    </row>
    <row r="104" spans="2:19" customFormat="1" ht="16.5" thickTop="1" thickBot="1" x14ac:dyDescent="0.3">
      <c r="B104" s="104" t="s">
        <v>601</v>
      </c>
      <c r="C104" s="104" t="s">
        <v>507</v>
      </c>
      <c r="D104" s="104" t="s">
        <v>345</v>
      </c>
      <c r="E104" s="104" t="s">
        <v>163</v>
      </c>
      <c r="F104" s="104" t="s">
        <v>164</v>
      </c>
      <c r="G104" s="104" t="s">
        <v>165</v>
      </c>
      <c r="H104" s="104" t="s">
        <v>650</v>
      </c>
      <c r="I104" s="104" t="s">
        <v>1778</v>
      </c>
      <c r="J104" s="104" t="s">
        <v>409</v>
      </c>
      <c r="K104" s="104" t="s">
        <v>56</v>
      </c>
      <c r="L104" s="104" t="s">
        <v>561</v>
      </c>
      <c r="M104" s="235" t="s">
        <v>1812</v>
      </c>
      <c r="N104" s="235" t="s">
        <v>650</v>
      </c>
      <c r="O104" s="235" t="s">
        <v>1778</v>
      </c>
      <c r="P104" s="235"/>
      <c r="Q104" s="235" t="s">
        <v>1812</v>
      </c>
      <c r="R104" s="235" t="s">
        <v>650</v>
      </c>
      <c r="S104" s="235" t="s">
        <v>1778</v>
      </c>
    </row>
    <row r="105" spans="2:19" customFormat="1" ht="16.5" thickTop="1" thickBot="1" x14ac:dyDescent="0.3">
      <c r="B105" s="104" t="s">
        <v>601</v>
      </c>
      <c r="C105" s="104" t="s">
        <v>507</v>
      </c>
      <c r="D105" s="104" t="s">
        <v>345</v>
      </c>
      <c r="E105" s="104" t="s">
        <v>751</v>
      </c>
      <c r="F105" s="104" t="s">
        <v>157</v>
      </c>
      <c r="G105" s="104" t="s">
        <v>725</v>
      </c>
      <c r="H105" s="104" t="s">
        <v>650</v>
      </c>
      <c r="I105" s="104" t="s">
        <v>1791</v>
      </c>
      <c r="J105" s="104" t="s">
        <v>332</v>
      </c>
      <c r="K105" s="104"/>
      <c r="L105" s="104" t="s">
        <v>770</v>
      </c>
      <c r="M105" s="235" t="s">
        <v>1812</v>
      </c>
      <c r="N105" s="235" t="s">
        <v>650</v>
      </c>
      <c r="O105" s="235" t="s">
        <v>1791</v>
      </c>
      <c r="P105" s="235"/>
      <c r="Q105" s="235"/>
      <c r="R105" s="235"/>
      <c r="S105" s="235"/>
    </row>
    <row r="106" spans="2:19" customFormat="1" ht="16.5" thickTop="1" thickBot="1" x14ac:dyDescent="0.3">
      <c r="B106" s="104" t="s">
        <v>601</v>
      </c>
      <c r="C106" s="104" t="s">
        <v>507</v>
      </c>
      <c r="D106" s="104" t="s">
        <v>345</v>
      </c>
      <c r="E106" s="104" t="s">
        <v>185</v>
      </c>
      <c r="F106" s="104" t="s">
        <v>157</v>
      </c>
      <c r="G106" s="104"/>
      <c r="H106" s="104" t="s">
        <v>650</v>
      </c>
      <c r="I106" s="104" t="s">
        <v>1779</v>
      </c>
      <c r="J106" s="104"/>
      <c r="K106" s="104"/>
      <c r="L106" s="104"/>
      <c r="M106" s="235" t="s">
        <v>1812</v>
      </c>
      <c r="N106" s="235" t="s">
        <v>650</v>
      </c>
      <c r="O106" s="235" t="s">
        <v>1779</v>
      </c>
      <c r="P106" s="235"/>
      <c r="Q106" s="235" t="s">
        <v>1812</v>
      </c>
      <c r="R106" s="235" t="s">
        <v>650</v>
      </c>
      <c r="S106" s="235" t="s">
        <v>1779</v>
      </c>
    </row>
    <row r="107" spans="2:19" customFormat="1" ht="16.5" thickTop="1" thickBot="1" x14ac:dyDescent="0.3">
      <c r="B107" s="104" t="s">
        <v>601</v>
      </c>
      <c r="C107" s="104" t="s">
        <v>507</v>
      </c>
      <c r="D107" s="104" t="s">
        <v>345</v>
      </c>
      <c r="E107" s="104" t="s">
        <v>238</v>
      </c>
      <c r="F107" s="104" t="s">
        <v>239</v>
      </c>
      <c r="G107" s="104"/>
      <c r="H107" s="104" t="s">
        <v>650</v>
      </c>
      <c r="I107" s="104" t="s">
        <v>1785</v>
      </c>
      <c r="J107" s="104"/>
      <c r="K107" s="104"/>
      <c r="L107" s="104"/>
      <c r="M107" s="235"/>
      <c r="N107" s="235"/>
      <c r="O107" s="235"/>
      <c r="P107" s="235"/>
      <c r="Q107" s="235" t="s">
        <v>1812</v>
      </c>
      <c r="R107" s="235" t="s">
        <v>650</v>
      </c>
      <c r="S107" s="235" t="s">
        <v>1785</v>
      </c>
    </row>
    <row r="108" spans="2:19" customFormat="1" ht="16.5" thickTop="1" thickBot="1" x14ac:dyDescent="0.3">
      <c r="B108" s="104" t="s">
        <v>601</v>
      </c>
      <c r="C108" s="104" t="s">
        <v>507</v>
      </c>
      <c r="D108" s="104" t="s">
        <v>345</v>
      </c>
      <c r="E108" s="104" t="s">
        <v>749</v>
      </c>
      <c r="F108" s="104" t="s">
        <v>157</v>
      </c>
      <c r="G108" s="104" t="s">
        <v>724</v>
      </c>
      <c r="H108" s="104" t="s">
        <v>650</v>
      </c>
      <c r="I108" s="104" t="s">
        <v>1786</v>
      </c>
      <c r="J108" s="104" t="s">
        <v>332</v>
      </c>
      <c r="K108" s="104"/>
      <c r="L108" s="104" t="s">
        <v>743</v>
      </c>
      <c r="M108" s="235"/>
      <c r="N108" s="235"/>
      <c r="O108" s="235"/>
      <c r="P108" s="235"/>
      <c r="Q108" s="235"/>
      <c r="R108" s="235"/>
      <c r="S108" s="235"/>
    </row>
    <row r="109" spans="2:19" customFormat="1" ht="16.5" thickTop="1" thickBot="1" x14ac:dyDescent="0.3">
      <c r="B109" s="104" t="s">
        <v>601</v>
      </c>
      <c r="C109" s="104" t="s">
        <v>507</v>
      </c>
      <c r="D109" s="104" t="s">
        <v>345</v>
      </c>
      <c r="E109" s="104" t="s">
        <v>205</v>
      </c>
      <c r="F109" s="104" t="s">
        <v>157</v>
      </c>
      <c r="G109" s="104"/>
      <c r="H109" s="104" t="s">
        <v>1777</v>
      </c>
      <c r="I109" s="104" t="s">
        <v>205</v>
      </c>
      <c r="J109" s="104"/>
      <c r="K109" s="104"/>
      <c r="L109" s="104"/>
      <c r="M109" s="235" t="s">
        <v>1812</v>
      </c>
      <c r="N109" s="235" t="s">
        <v>1777</v>
      </c>
      <c r="O109" s="235" t="s">
        <v>205</v>
      </c>
      <c r="P109" s="235"/>
      <c r="Q109" s="235"/>
      <c r="R109" s="235"/>
      <c r="S109" s="235"/>
    </row>
    <row r="110" spans="2:19" customFormat="1" ht="16.5" thickTop="1" thickBot="1" x14ac:dyDescent="0.3">
      <c r="B110" s="104" t="s">
        <v>652</v>
      </c>
      <c r="C110" s="104" t="s">
        <v>507</v>
      </c>
      <c r="D110" s="104" t="s">
        <v>909</v>
      </c>
      <c r="E110" s="104" t="s">
        <v>353</v>
      </c>
      <c r="F110" s="104"/>
      <c r="G110" s="104"/>
      <c r="H110" s="104" t="s">
        <v>1769</v>
      </c>
      <c r="I110" s="104" t="s">
        <v>1768</v>
      </c>
      <c r="J110" s="104" t="s">
        <v>353</v>
      </c>
      <c r="K110" s="104"/>
      <c r="L110" s="104"/>
      <c r="M110" s="235" t="s">
        <v>1812</v>
      </c>
      <c r="N110" s="235" t="s">
        <v>1769</v>
      </c>
      <c r="O110" s="235" t="s">
        <v>1768</v>
      </c>
      <c r="P110" s="235"/>
      <c r="Q110" s="235" t="s">
        <v>1812</v>
      </c>
      <c r="R110" s="235" t="s">
        <v>1769</v>
      </c>
      <c r="S110" s="235" t="s">
        <v>1768</v>
      </c>
    </row>
    <row r="111" spans="2:19" customFormat="1" ht="16.5" thickTop="1" thickBot="1" x14ac:dyDescent="0.3">
      <c r="B111" s="104" t="s">
        <v>652</v>
      </c>
      <c r="C111" s="104" t="s">
        <v>507</v>
      </c>
      <c r="D111" s="104" t="s">
        <v>909</v>
      </c>
      <c r="E111" s="104" t="s">
        <v>354</v>
      </c>
      <c r="F111" s="104"/>
      <c r="G111" s="104"/>
      <c r="H111" s="104" t="s">
        <v>1769</v>
      </c>
      <c r="I111" s="104" t="s">
        <v>644</v>
      </c>
      <c r="J111" s="104" t="s">
        <v>353</v>
      </c>
      <c r="K111" s="104"/>
      <c r="L111" s="104"/>
      <c r="M111" s="235" t="s">
        <v>1812</v>
      </c>
      <c r="N111" s="235" t="s">
        <v>1769</v>
      </c>
      <c r="O111" s="235" t="s">
        <v>1031</v>
      </c>
      <c r="P111" s="235"/>
      <c r="Q111" s="235" t="s">
        <v>1812</v>
      </c>
      <c r="R111" s="235" t="s">
        <v>1769</v>
      </c>
      <c r="S111" s="235" t="s">
        <v>1031</v>
      </c>
    </row>
    <row r="112" spans="2:19" customFormat="1" ht="16.5" thickTop="1" thickBot="1" x14ac:dyDescent="0.3">
      <c r="B112" s="104" t="s">
        <v>652</v>
      </c>
      <c r="C112" s="104" t="s">
        <v>507</v>
      </c>
      <c r="D112" s="104" t="s">
        <v>909</v>
      </c>
      <c r="E112" s="104" t="s">
        <v>359</v>
      </c>
      <c r="F112" s="104"/>
      <c r="G112" s="104"/>
      <c r="H112" s="104" t="s">
        <v>1762</v>
      </c>
      <c r="I112" s="104" t="s">
        <v>1763</v>
      </c>
      <c r="J112" s="104" t="s">
        <v>639</v>
      </c>
      <c r="K112" s="104"/>
      <c r="L112" s="104"/>
      <c r="M112" s="235" t="s">
        <v>1812</v>
      </c>
      <c r="N112" s="235" t="s">
        <v>1762</v>
      </c>
      <c r="O112" s="235" t="s">
        <v>1763</v>
      </c>
      <c r="P112" s="235"/>
      <c r="Q112" s="235" t="s">
        <v>1812</v>
      </c>
      <c r="R112" s="235" t="s">
        <v>1762</v>
      </c>
      <c r="S112" s="235" t="s">
        <v>1763</v>
      </c>
    </row>
    <row r="113" spans="2:19" customFormat="1" ht="16.5" thickTop="1" thickBot="1" x14ac:dyDescent="0.3">
      <c r="B113" s="104" t="s">
        <v>652</v>
      </c>
      <c r="C113" s="104" t="s">
        <v>507</v>
      </c>
      <c r="D113" s="104" t="s">
        <v>909</v>
      </c>
      <c r="E113" s="104" t="s">
        <v>360</v>
      </c>
      <c r="F113" s="104"/>
      <c r="G113" s="104"/>
      <c r="H113" s="104" t="s">
        <v>1762</v>
      </c>
      <c r="I113" s="104" t="s">
        <v>640</v>
      </c>
      <c r="J113" s="104" t="s">
        <v>639</v>
      </c>
      <c r="K113" s="104"/>
      <c r="L113" s="104"/>
      <c r="M113" s="235" t="s">
        <v>1812</v>
      </c>
      <c r="N113" s="235" t="s">
        <v>1762</v>
      </c>
      <c r="O113" s="235" t="s">
        <v>1034</v>
      </c>
      <c r="P113" s="235"/>
      <c r="Q113" s="235" t="s">
        <v>1812</v>
      </c>
      <c r="R113" s="235" t="s">
        <v>1762</v>
      </c>
      <c r="S113" s="235" t="s">
        <v>1034</v>
      </c>
    </row>
    <row r="114" spans="2:19" s="92" customFormat="1" ht="16.5" thickTop="1" thickBot="1" x14ac:dyDescent="0.3">
      <c r="M114" s="234"/>
      <c r="N114" s="234" t="s">
        <v>332</v>
      </c>
      <c r="O114" s="234" t="s">
        <v>1011</v>
      </c>
      <c r="P114" s="234"/>
      <c r="Q114" s="235"/>
      <c r="R114" s="235"/>
      <c r="S114" s="235"/>
    </row>
    <row r="115" spans="2:19" s="92" customFormat="1" ht="16.5" thickTop="1" thickBot="1" x14ac:dyDescent="0.3">
      <c r="M115" s="234"/>
      <c r="N115" s="234" t="s">
        <v>332</v>
      </c>
      <c r="O115" s="234" t="s">
        <v>945</v>
      </c>
      <c r="P115" s="234"/>
      <c r="Q115" s="235"/>
      <c r="R115" s="235"/>
      <c r="S115" s="235"/>
    </row>
    <row r="116" spans="2:19" s="92" customFormat="1" ht="16.5" thickTop="1" thickBot="1" x14ac:dyDescent="0.3">
      <c r="M116" s="234"/>
      <c r="N116" s="234" t="s">
        <v>332</v>
      </c>
      <c r="O116" s="234" t="s">
        <v>945</v>
      </c>
      <c r="P116" s="234"/>
      <c r="Q116" s="235"/>
      <c r="R116" s="235"/>
      <c r="S116" s="235"/>
    </row>
    <row r="117" spans="2:19" s="92" customFormat="1" ht="16.5" thickTop="1" thickBot="1" x14ac:dyDescent="0.3">
      <c r="M117" s="234"/>
      <c r="N117" s="234" t="s">
        <v>332</v>
      </c>
      <c r="O117" s="234" t="s">
        <v>945</v>
      </c>
      <c r="P117" s="234"/>
      <c r="Q117" s="235"/>
      <c r="R117" s="235"/>
      <c r="S117" s="235"/>
    </row>
    <row r="118" spans="2:19" customFormat="1" ht="16.5" thickTop="1" thickBot="1" x14ac:dyDescent="0.3">
      <c r="B118" s="104" t="s">
        <v>601</v>
      </c>
      <c r="C118" s="104" t="s">
        <v>507</v>
      </c>
      <c r="D118" s="104" t="s">
        <v>38</v>
      </c>
      <c r="E118" s="104" t="s">
        <v>529</v>
      </c>
      <c r="F118" s="104"/>
      <c r="G118" s="104" t="s">
        <v>530</v>
      </c>
      <c r="H118" s="104" t="s">
        <v>1805</v>
      </c>
      <c r="I118" s="104" t="s">
        <v>367</v>
      </c>
      <c r="J118" s="104" t="s">
        <v>610</v>
      </c>
      <c r="K118" s="104" t="s">
        <v>342</v>
      </c>
      <c r="L118" s="104"/>
      <c r="M118" s="235" t="s">
        <v>1812</v>
      </c>
      <c r="N118" s="235" t="s">
        <v>1805</v>
      </c>
      <c r="O118" s="235" t="s">
        <v>367</v>
      </c>
      <c r="P118" s="235"/>
      <c r="Q118" s="237" t="s">
        <v>1812</v>
      </c>
      <c r="R118" s="237" t="s">
        <v>1805</v>
      </c>
      <c r="S118" s="237" t="s">
        <v>367</v>
      </c>
    </row>
    <row r="119" spans="2:19" customFormat="1" ht="16.5" thickTop="1" thickBot="1" x14ac:dyDescent="0.3">
      <c r="B119" s="104" t="s">
        <v>601</v>
      </c>
      <c r="C119" s="104" t="s">
        <v>507</v>
      </c>
      <c r="D119" s="104" t="s">
        <v>345</v>
      </c>
      <c r="E119" s="104" t="s">
        <v>185</v>
      </c>
      <c r="F119" s="104" t="s">
        <v>157</v>
      </c>
      <c r="G119" s="104"/>
      <c r="H119" s="104" t="s">
        <v>1780</v>
      </c>
      <c r="I119" s="104" t="s">
        <v>1779</v>
      </c>
      <c r="J119" s="104" t="s">
        <v>332</v>
      </c>
      <c r="K119" s="104" t="s">
        <v>157</v>
      </c>
      <c r="L119" s="104" t="s">
        <v>506</v>
      </c>
      <c r="M119" s="235" t="s">
        <v>1812</v>
      </c>
      <c r="N119" s="235" t="s">
        <v>1805</v>
      </c>
      <c r="O119" s="235" t="s">
        <v>1779</v>
      </c>
      <c r="P119" s="235"/>
      <c r="Q119" s="237" t="s">
        <v>1812</v>
      </c>
      <c r="R119" s="237" t="s">
        <v>1805</v>
      </c>
      <c r="S119" s="237" t="s">
        <v>1779</v>
      </c>
    </row>
    <row r="120" spans="2:19" customFormat="1" ht="16.5" thickTop="1" thickBot="1" x14ac:dyDescent="0.3">
      <c r="B120" s="104" t="s">
        <v>601</v>
      </c>
      <c r="C120" s="104" t="s">
        <v>507</v>
      </c>
      <c r="D120" s="104" t="s">
        <v>345</v>
      </c>
      <c r="E120" s="104" t="s">
        <v>214</v>
      </c>
      <c r="F120" s="104" t="s">
        <v>179</v>
      </c>
      <c r="G120" s="104"/>
      <c r="H120" s="104" t="s">
        <v>1780</v>
      </c>
      <c r="I120" s="104" t="s">
        <v>568</v>
      </c>
      <c r="J120" s="104" t="s">
        <v>332</v>
      </c>
      <c r="K120" s="104" t="s">
        <v>179</v>
      </c>
      <c r="L120" s="104" t="s">
        <v>682</v>
      </c>
      <c r="M120" s="235" t="s">
        <v>1812</v>
      </c>
      <c r="N120" s="235" t="s">
        <v>1805</v>
      </c>
      <c r="O120" s="235" t="s">
        <v>568</v>
      </c>
      <c r="P120" s="235"/>
      <c r="Q120" s="237"/>
      <c r="R120" s="237"/>
      <c r="S120" s="237"/>
    </row>
    <row r="121" spans="2:19" customFormat="1" ht="16.5" thickTop="1" thickBot="1" x14ac:dyDescent="0.3">
      <c r="B121" s="104" t="s">
        <v>601</v>
      </c>
      <c r="C121" s="104" t="s">
        <v>507</v>
      </c>
      <c r="D121" s="104" t="s">
        <v>38</v>
      </c>
      <c r="E121" s="104" t="s">
        <v>347</v>
      </c>
      <c r="F121" s="104"/>
      <c r="G121" s="104" t="s">
        <v>523</v>
      </c>
      <c r="H121" s="104" t="s">
        <v>1805</v>
      </c>
      <c r="I121" s="104" t="s">
        <v>568</v>
      </c>
      <c r="J121" s="104" t="s">
        <v>332</v>
      </c>
      <c r="K121" s="104" t="s">
        <v>45</v>
      </c>
      <c r="L121" s="104" t="s">
        <v>889</v>
      </c>
      <c r="M121" s="235" t="s">
        <v>1812</v>
      </c>
      <c r="N121" s="235" t="s">
        <v>1805</v>
      </c>
      <c r="O121" s="235" t="s">
        <v>568</v>
      </c>
      <c r="P121" s="235"/>
      <c r="Q121" s="237" t="s">
        <v>1812</v>
      </c>
      <c r="R121" s="237" t="s">
        <v>1805</v>
      </c>
      <c r="S121" s="237" t="s">
        <v>568</v>
      </c>
    </row>
    <row r="122" spans="2:19" customFormat="1" ht="16.5" thickTop="1" thickBot="1" x14ac:dyDescent="0.3">
      <c r="B122" s="104"/>
      <c r="C122" s="104"/>
      <c r="D122" s="104"/>
      <c r="E122" s="104"/>
      <c r="F122" s="104"/>
      <c r="G122" s="104"/>
      <c r="H122" s="104"/>
      <c r="I122" s="104"/>
      <c r="J122" s="104"/>
      <c r="K122" s="104"/>
      <c r="L122" s="104"/>
      <c r="M122" s="235"/>
      <c r="N122" s="235"/>
      <c r="O122" s="235"/>
      <c r="P122" s="235"/>
      <c r="Q122" s="237" t="s">
        <v>1812</v>
      </c>
      <c r="R122" s="237" t="s">
        <v>1805</v>
      </c>
      <c r="S122" s="237" t="s">
        <v>1830</v>
      </c>
    </row>
    <row r="123" spans="2:19" customFormat="1" ht="16.5" thickTop="1" thickBot="1" x14ac:dyDescent="0.3">
      <c r="B123" s="104" t="s">
        <v>601</v>
      </c>
      <c r="C123" s="104" t="s">
        <v>507</v>
      </c>
      <c r="D123" s="104" t="s">
        <v>345</v>
      </c>
      <c r="E123" s="104" t="s">
        <v>186</v>
      </c>
      <c r="F123" s="104" t="s">
        <v>179</v>
      </c>
      <c r="G123" s="104"/>
      <c r="H123" s="104" t="s">
        <v>1780</v>
      </c>
      <c r="I123" s="104" t="s">
        <v>567</v>
      </c>
      <c r="J123" s="104" t="s">
        <v>387</v>
      </c>
      <c r="K123" s="104" t="s">
        <v>179</v>
      </c>
      <c r="L123" s="104" t="s">
        <v>374</v>
      </c>
      <c r="M123" s="235" t="s">
        <v>1812</v>
      </c>
      <c r="N123" s="235" t="s">
        <v>1805</v>
      </c>
      <c r="O123" s="235" t="s">
        <v>567</v>
      </c>
      <c r="P123" s="235"/>
      <c r="Q123" s="237"/>
      <c r="R123" s="237"/>
      <c r="S123" s="237"/>
    </row>
    <row r="124" spans="2:19" customFormat="1" ht="16.5" thickTop="1" thickBot="1" x14ac:dyDescent="0.3">
      <c r="B124" s="104" t="s">
        <v>601</v>
      </c>
      <c r="C124" s="104" t="s">
        <v>507</v>
      </c>
      <c r="D124" s="104" t="s">
        <v>37</v>
      </c>
      <c r="E124" s="104" t="s">
        <v>32</v>
      </c>
      <c r="F124" s="104" t="s">
        <v>45</v>
      </c>
      <c r="G124" s="104"/>
      <c r="H124" s="104" t="s">
        <v>1805</v>
      </c>
      <c r="I124" s="104" t="s">
        <v>567</v>
      </c>
      <c r="J124" s="104" t="s">
        <v>387</v>
      </c>
      <c r="K124" s="104" t="s">
        <v>45</v>
      </c>
      <c r="L124" s="104" t="s">
        <v>586</v>
      </c>
      <c r="M124" s="235" t="s">
        <v>1812</v>
      </c>
      <c r="N124" s="235" t="s">
        <v>1805</v>
      </c>
      <c r="O124" s="235" t="s">
        <v>567</v>
      </c>
      <c r="P124" s="235"/>
      <c r="Q124" s="237" t="s">
        <v>1812</v>
      </c>
      <c r="R124" s="237" t="s">
        <v>1805</v>
      </c>
      <c r="S124" s="237" t="s">
        <v>567</v>
      </c>
    </row>
    <row r="125" spans="2:19" customFormat="1" ht="16.5" thickTop="1" thickBot="1" x14ac:dyDescent="0.3">
      <c r="B125" s="104" t="s">
        <v>601</v>
      </c>
      <c r="C125" s="104" t="s">
        <v>507</v>
      </c>
      <c r="D125" s="104" t="s">
        <v>345</v>
      </c>
      <c r="E125" s="104" t="s">
        <v>752</v>
      </c>
      <c r="F125" s="104" t="s">
        <v>179</v>
      </c>
      <c r="G125" s="104" t="s">
        <v>727</v>
      </c>
      <c r="H125" s="104" t="s">
        <v>1805</v>
      </c>
      <c r="I125" s="104" t="s">
        <v>1788</v>
      </c>
      <c r="J125" s="104" t="s">
        <v>730</v>
      </c>
      <c r="K125" s="104" t="s">
        <v>256</v>
      </c>
      <c r="L125" s="104" t="s">
        <v>1068</v>
      </c>
      <c r="M125" s="105" t="s">
        <v>1812</v>
      </c>
      <c r="N125" s="105" t="s">
        <v>1805</v>
      </c>
      <c r="O125" s="105" t="s">
        <v>1788</v>
      </c>
      <c r="P125" s="105"/>
      <c r="Q125" s="237" t="s">
        <v>1812</v>
      </c>
      <c r="R125" s="237" t="s">
        <v>1805</v>
      </c>
      <c r="S125" s="237" t="s">
        <v>1788</v>
      </c>
    </row>
    <row r="126" spans="2:19" customFormat="1" ht="16.5" thickTop="1" thickBot="1" x14ac:dyDescent="0.3">
      <c r="B126" s="104" t="s">
        <v>601</v>
      </c>
      <c r="C126" s="104" t="s">
        <v>507</v>
      </c>
      <c r="D126" s="104" t="s">
        <v>345</v>
      </c>
      <c r="E126" s="104" t="s">
        <v>238</v>
      </c>
      <c r="F126" s="104" t="s">
        <v>239</v>
      </c>
      <c r="G126" s="104"/>
      <c r="H126" s="104" t="s">
        <v>1805</v>
      </c>
      <c r="I126" s="104" t="s">
        <v>1785</v>
      </c>
      <c r="J126" s="104" t="s">
        <v>332</v>
      </c>
      <c r="K126" s="104" t="s">
        <v>239</v>
      </c>
      <c r="L126" s="104" t="s">
        <v>240</v>
      </c>
      <c r="M126" s="105" t="s">
        <v>1812</v>
      </c>
      <c r="N126" s="105" t="s">
        <v>1805</v>
      </c>
      <c r="O126" s="105" t="s">
        <v>1785</v>
      </c>
      <c r="P126" s="105"/>
      <c r="Q126" s="237" t="s">
        <v>1812</v>
      </c>
      <c r="R126" s="237" t="s">
        <v>1805</v>
      </c>
      <c r="S126" s="237" t="s">
        <v>1785</v>
      </c>
    </row>
    <row r="127" spans="2:19" customFormat="1" ht="16.5" thickTop="1" thickBot="1" x14ac:dyDescent="0.3">
      <c r="B127" s="104"/>
      <c r="C127" s="104"/>
      <c r="D127" s="104"/>
      <c r="E127" s="104"/>
      <c r="F127" s="104"/>
      <c r="G127" s="104"/>
      <c r="H127" s="104"/>
      <c r="I127" s="104"/>
      <c r="J127" s="104"/>
      <c r="K127" s="104"/>
      <c r="L127" s="104"/>
      <c r="M127" s="105" t="s">
        <v>1813</v>
      </c>
      <c r="N127" s="105" t="s">
        <v>1805</v>
      </c>
      <c r="O127" s="105" t="s">
        <v>1785</v>
      </c>
      <c r="P127" s="105"/>
      <c r="Q127" s="237" t="s">
        <v>1813</v>
      </c>
      <c r="R127" s="237" t="s">
        <v>1805</v>
      </c>
      <c r="S127" s="237" t="s">
        <v>1785</v>
      </c>
    </row>
    <row r="128" spans="2:19" customFormat="1" ht="16.5" thickTop="1" thickBot="1" x14ac:dyDescent="0.3">
      <c r="B128" s="104"/>
      <c r="C128" s="104"/>
      <c r="D128" s="104"/>
      <c r="E128" s="104"/>
      <c r="F128" s="104"/>
      <c r="G128" s="104"/>
      <c r="H128" s="104"/>
      <c r="I128" s="104"/>
      <c r="J128" s="104"/>
      <c r="K128" s="104"/>
      <c r="L128" s="104"/>
      <c r="M128" s="105" t="s">
        <v>1813</v>
      </c>
      <c r="N128" s="105" t="s">
        <v>1805</v>
      </c>
      <c r="O128" s="105" t="s">
        <v>1819</v>
      </c>
      <c r="P128" s="105"/>
      <c r="Q128" s="237" t="s">
        <v>1813</v>
      </c>
      <c r="R128" s="237" t="s">
        <v>1805</v>
      </c>
      <c r="S128" s="237" t="s">
        <v>1819</v>
      </c>
    </row>
    <row r="129" spans="2:19" customFormat="1" ht="16.5" thickTop="1" thickBot="1" x14ac:dyDescent="0.3">
      <c r="B129" s="104" t="s">
        <v>601</v>
      </c>
      <c r="C129" s="104" t="s">
        <v>507</v>
      </c>
      <c r="D129" s="104" t="s">
        <v>345</v>
      </c>
      <c r="E129" s="104" t="s">
        <v>750</v>
      </c>
      <c r="F129" s="104" t="s">
        <v>179</v>
      </c>
      <c r="G129" s="104" t="s">
        <v>726</v>
      </c>
      <c r="H129" s="104" t="s">
        <v>1805</v>
      </c>
      <c r="I129" s="104" t="s">
        <v>1787</v>
      </c>
      <c r="J129" s="104" t="s">
        <v>729</v>
      </c>
      <c r="K129" s="104" t="s">
        <v>256</v>
      </c>
      <c r="L129" s="104" t="s">
        <v>1067</v>
      </c>
      <c r="M129" s="105" t="s">
        <v>1812</v>
      </c>
      <c r="N129" s="105" t="s">
        <v>1805</v>
      </c>
      <c r="O129" s="105" t="s">
        <v>1787</v>
      </c>
      <c r="P129" s="105"/>
      <c r="Q129" s="237" t="s">
        <v>1812</v>
      </c>
      <c r="R129" s="237" t="s">
        <v>1805</v>
      </c>
      <c r="S129" s="237" t="s">
        <v>1787</v>
      </c>
    </row>
    <row r="130" spans="2:19" customFormat="1" ht="16.5" thickTop="1" thickBot="1" x14ac:dyDescent="0.3">
      <c r="B130" s="104"/>
      <c r="C130" s="104"/>
      <c r="D130" s="104"/>
      <c r="E130" s="104"/>
      <c r="F130" s="104"/>
      <c r="G130" s="104"/>
      <c r="H130" s="104"/>
      <c r="I130" s="104"/>
      <c r="J130" s="104"/>
      <c r="K130" s="104"/>
      <c r="L130" s="104"/>
      <c r="M130" s="235" t="s">
        <v>1813</v>
      </c>
      <c r="N130" s="235" t="s">
        <v>1805</v>
      </c>
      <c r="O130" s="235" t="s">
        <v>1818</v>
      </c>
      <c r="P130" s="235"/>
      <c r="Q130" s="237" t="s">
        <v>1813</v>
      </c>
      <c r="R130" s="237" t="s">
        <v>1805</v>
      </c>
      <c r="S130" s="237" t="s">
        <v>1818</v>
      </c>
    </row>
    <row r="131" spans="2:19" customFormat="1" ht="16.5" thickTop="1" thickBot="1" x14ac:dyDescent="0.3">
      <c r="B131" s="104" t="s">
        <v>601</v>
      </c>
      <c r="C131" s="104" t="s">
        <v>507</v>
      </c>
      <c r="D131" s="104" t="s">
        <v>37</v>
      </c>
      <c r="E131" s="104" t="s">
        <v>6</v>
      </c>
      <c r="F131" s="104" t="s">
        <v>661</v>
      </c>
      <c r="G131" s="104" t="s">
        <v>126</v>
      </c>
      <c r="H131" s="104" t="s">
        <v>37</v>
      </c>
      <c r="I131" s="104" t="s">
        <v>392</v>
      </c>
      <c r="J131" s="104" t="s">
        <v>384</v>
      </c>
      <c r="K131" s="104" t="s">
        <v>125</v>
      </c>
      <c r="L131" s="104" t="s">
        <v>582</v>
      </c>
      <c r="M131" s="235" t="s">
        <v>1812</v>
      </c>
      <c r="N131" s="235" t="s">
        <v>37</v>
      </c>
      <c r="O131" s="235" t="s">
        <v>392</v>
      </c>
      <c r="P131" s="235"/>
      <c r="Q131" s="237" t="s">
        <v>1812</v>
      </c>
      <c r="R131" s="237" t="s">
        <v>37</v>
      </c>
      <c r="S131" s="237" t="s">
        <v>392</v>
      </c>
    </row>
    <row r="132" spans="2:19" customFormat="1" ht="16.5" thickTop="1" thickBot="1" x14ac:dyDescent="0.3">
      <c r="B132" s="104" t="s">
        <v>601</v>
      </c>
      <c r="C132" s="104" t="s">
        <v>507</v>
      </c>
      <c r="D132" s="104" t="s">
        <v>37</v>
      </c>
      <c r="E132" s="104" t="s">
        <v>7</v>
      </c>
      <c r="F132" s="104" t="s">
        <v>661</v>
      </c>
      <c r="G132" s="104" t="s">
        <v>127</v>
      </c>
      <c r="H132" s="104" t="s">
        <v>37</v>
      </c>
      <c r="I132" s="104" t="s">
        <v>393</v>
      </c>
      <c r="J132" s="104" t="s">
        <v>386</v>
      </c>
      <c r="K132" s="104" t="s">
        <v>125</v>
      </c>
      <c r="L132" s="104" t="s">
        <v>582</v>
      </c>
      <c r="M132" s="235" t="s">
        <v>1812</v>
      </c>
      <c r="N132" s="235" t="s">
        <v>37</v>
      </c>
      <c r="O132" s="235" t="s">
        <v>393</v>
      </c>
      <c r="P132" s="235"/>
      <c r="Q132" s="237" t="s">
        <v>1812</v>
      </c>
      <c r="R132" s="237" t="s">
        <v>37</v>
      </c>
      <c r="S132" s="237" t="s">
        <v>393</v>
      </c>
    </row>
    <row r="133" spans="2:19" customFormat="1" ht="16.5" thickTop="1" thickBot="1" x14ac:dyDescent="0.3">
      <c r="B133" s="104" t="s">
        <v>601</v>
      </c>
      <c r="C133" s="104" t="s">
        <v>507</v>
      </c>
      <c r="D133" s="104" t="s">
        <v>37</v>
      </c>
      <c r="E133" s="104" t="s">
        <v>2</v>
      </c>
      <c r="F133" s="104" t="s">
        <v>157</v>
      </c>
      <c r="G133" s="104"/>
      <c r="H133" s="104" t="s">
        <v>37</v>
      </c>
      <c r="I133" s="104" t="s">
        <v>1747</v>
      </c>
      <c r="J133" s="104" t="s">
        <v>332</v>
      </c>
      <c r="K133" s="104" t="s">
        <v>44</v>
      </c>
      <c r="L133" s="104" t="s">
        <v>583</v>
      </c>
      <c r="M133" s="235" t="s">
        <v>1812</v>
      </c>
      <c r="N133" s="235" t="s">
        <v>37</v>
      </c>
      <c r="O133" s="235" t="s">
        <v>1747</v>
      </c>
      <c r="P133" s="235"/>
      <c r="Q133" s="237" t="s">
        <v>1812</v>
      </c>
      <c r="R133" s="237" t="s">
        <v>37</v>
      </c>
      <c r="S133" s="237" t="s">
        <v>1747</v>
      </c>
    </row>
    <row r="134" spans="2:19" customFormat="1" ht="16.5" thickTop="1" thickBot="1" x14ac:dyDescent="0.3">
      <c r="B134" s="104" t="s">
        <v>601</v>
      </c>
      <c r="C134" s="104" t="s">
        <v>507</v>
      </c>
      <c r="D134" s="104" t="s">
        <v>37</v>
      </c>
      <c r="E134" s="104" t="s">
        <v>34</v>
      </c>
      <c r="F134" s="104" t="s">
        <v>661</v>
      </c>
      <c r="G134" s="104" t="s">
        <v>126</v>
      </c>
      <c r="H134" s="104" t="s">
        <v>37</v>
      </c>
      <c r="I134" s="104" t="s">
        <v>576</v>
      </c>
      <c r="J134" s="104" t="s">
        <v>332</v>
      </c>
      <c r="K134" s="104" t="s">
        <v>154</v>
      </c>
      <c r="L134" s="104" t="s">
        <v>372</v>
      </c>
      <c r="M134" s="235" t="s">
        <v>1812</v>
      </c>
      <c r="N134" s="235" t="s">
        <v>37</v>
      </c>
      <c r="O134" s="235" t="s">
        <v>576</v>
      </c>
      <c r="P134" s="235"/>
      <c r="Q134" s="237" t="s">
        <v>1812</v>
      </c>
      <c r="R134" s="237" t="s">
        <v>37</v>
      </c>
      <c r="S134" s="237" t="s">
        <v>576</v>
      </c>
    </row>
    <row r="135" spans="2:19" customFormat="1" ht="16.5" thickTop="1" thickBot="1" x14ac:dyDescent="0.3">
      <c r="B135" s="104" t="s">
        <v>601</v>
      </c>
      <c r="C135" s="104" t="s">
        <v>507</v>
      </c>
      <c r="D135" s="104" t="s">
        <v>37</v>
      </c>
      <c r="E135" s="104" t="s">
        <v>22</v>
      </c>
      <c r="F135" s="104" t="s">
        <v>157</v>
      </c>
      <c r="G135" s="104"/>
      <c r="H135" s="104" t="s">
        <v>37</v>
      </c>
      <c r="I135" s="104" t="s">
        <v>1784</v>
      </c>
      <c r="J135" s="104" t="s">
        <v>332</v>
      </c>
      <c r="K135" s="104" t="s">
        <v>44</v>
      </c>
      <c r="L135" s="104" t="s">
        <v>584</v>
      </c>
      <c r="M135" s="235" t="s">
        <v>1812</v>
      </c>
      <c r="N135" s="235" t="s">
        <v>37</v>
      </c>
      <c r="O135" s="235" t="s">
        <v>1784</v>
      </c>
      <c r="P135" s="235"/>
      <c r="Q135" s="237" t="s">
        <v>1812</v>
      </c>
      <c r="R135" s="237" t="s">
        <v>37</v>
      </c>
      <c r="S135" s="237" t="s">
        <v>1784</v>
      </c>
    </row>
    <row r="136" spans="2:19" customFormat="1" ht="16.5" thickTop="1" thickBot="1" x14ac:dyDescent="0.3">
      <c r="B136" s="104" t="s">
        <v>601</v>
      </c>
      <c r="C136" s="104" t="s">
        <v>507</v>
      </c>
      <c r="D136" s="104" t="s">
        <v>37</v>
      </c>
      <c r="E136" s="104" t="s">
        <v>24</v>
      </c>
      <c r="F136" s="104" t="s">
        <v>130</v>
      </c>
      <c r="G136" s="104" t="s">
        <v>131</v>
      </c>
      <c r="H136" s="104" t="s">
        <v>37</v>
      </c>
      <c r="I136" s="104" t="s">
        <v>389</v>
      </c>
      <c r="J136" s="104" t="s">
        <v>332</v>
      </c>
      <c r="K136" s="104" t="s">
        <v>130</v>
      </c>
      <c r="L136" s="104" t="s">
        <v>579</v>
      </c>
      <c r="M136" s="235" t="s">
        <v>1812</v>
      </c>
      <c r="N136" s="235" t="s">
        <v>37</v>
      </c>
      <c r="O136" s="235" t="s">
        <v>389</v>
      </c>
      <c r="P136" s="235"/>
      <c r="Q136" s="237" t="s">
        <v>1812</v>
      </c>
      <c r="R136" s="237" t="s">
        <v>37</v>
      </c>
      <c r="S136" s="237" t="s">
        <v>389</v>
      </c>
    </row>
    <row r="137" spans="2:19" customFormat="1" ht="16.5" thickTop="1" thickBot="1" x14ac:dyDescent="0.3">
      <c r="B137" s="104" t="s">
        <v>601</v>
      </c>
      <c r="C137" s="104" t="s">
        <v>507</v>
      </c>
      <c r="D137" s="104" t="s">
        <v>37</v>
      </c>
      <c r="E137" s="104" t="s">
        <v>26</v>
      </c>
      <c r="F137" s="104" t="s">
        <v>130</v>
      </c>
      <c r="G137" s="104" t="s">
        <v>131</v>
      </c>
      <c r="H137" s="104" t="s">
        <v>37</v>
      </c>
      <c r="I137" s="104" t="s">
        <v>26</v>
      </c>
      <c r="J137" s="104" t="s">
        <v>382</v>
      </c>
      <c r="K137" s="104" t="s">
        <v>130</v>
      </c>
      <c r="L137" s="104" t="s">
        <v>581</v>
      </c>
      <c r="M137" s="235" t="s">
        <v>1812</v>
      </c>
      <c r="N137" s="235" t="s">
        <v>37</v>
      </c>
      <c r="O137" s="235" t="s">
        <v>26</v>
      </c>
      <c r="P137" s="235"/>
      <c r="Q137" s="237" t="s">
        <v>1812</v>
      </c>
      <c r="R137" s="237" t="s">
        <v>37</v>
      </c>
      <c r="S137" s="237" t="s">
        <v>26</v>
      </c>
    </row>
    <row r="138" spans="2:19" customFormat="1" ht="16.5" thickTop="1" thickBot="1" x14ac:dyDescent="0.3">
      <c r="B138" s="104" t="s">
        <v>601</v>
      </c>
      <c r="C138" s="104" t="s">
        <v>507</v>
      </c>
      <c r="D138" s="104" t="s">
        <v>37</v>
      </c>
      <c r="E138" s="104" t="s">
        <v>23</v>
      </c>
      <c r="F138" s="104" t="s">
        <v>130</v>
      </c>
      <c r="G138" s="104" t="s">
        <v>131</v>
      </c>
      <c r="H138" s="104" t="s">
        <v>37</v>
      </c>
      <c r="I138" s="104" t="s">
        <v>394</v>
      </c>
      <c r="J138" s="104" t="s">
        <v>332</v>
      </c>
      <c r="K138" s="104" t="s">
        <v>130</v>
      </c>
      <c r="L138" s="104" t="s">
        <v>588</v>
      </c>
      <c r="M138" s="235" t="s">
        <v>1812</v>
      </c>
      <c r="N138" s="235" t="s">
        <v>37</v>
      </c>
      <c r="O138" s="235" t="s">
        <v>394</v>
      </c>
      <c r="P138" s="235"/>
      <c r="Q138" s="237" t="s">
        <v>1812</v>
      </c>
      <c r="R138" s="237" t="s">
        <v>37</v>
      </c>
      <c r="S138" s="237" t="s">
        <v>394</v>
      </c>
    </row>
    <row r="139" spans="2:19" customFormat="1" ht="16.5" thickTop="1" thickBot="1" x14ac:dyDescent="0.3">
      <c r="B139" s="104"/>
      <c r="C139" s="104"/>
      <c r="D139" s="104"/>
      <c r="E139" s="104"/>
      <c r="F139" s="104"/>
      <c r="G139" s="104"/>
      <c r="H139" s="104"/>
      <c r="I139" s="104"/>
      <c r="J139" s="104"/>
      <c r="K139" s="104"/>
      <c r="L139" s="104"/>
      <c r="M139" s="235" t="s">
        <v>1813</v>
      </c>
      <c r="N139" s="235" t="s">
        <v>37</v>
      </c>
      <c r="O139" s="235" t="s">
        <v>1792</v>
      </c>
      <c r="P139" s="235"/>
      <c r="Q139" s="237" t="s">
        <v>1813</v>
      </c>
      <c r="R139" s="237" t="s">
        <v>37</v>
      </c>
      <c r="S139" s="237" t="s">
        <v>1792</v>
      </c>
    </row>
    <row r="140" spans="2:19" customFormat="1" ht="16.5" thickTop="1" thickBot="1" x14ac:dyDescent="0.3">
      <c r="B140" s="104"/>
      <c r="C140" s="104"/>
      <c r="D140" s="104"/>
      <c r="E140" s="104"/>
      <c r="F140" s="104"/>
      <c r="G140" s="104"/>
      <c r="H140" s="104"/>
      <c r="I140" s="104"/>
      <c r="J140" s="104"/>
      <c r="K140" s="104"/>
      <c r="L140" s="104"/>
      <c r="M140" s="235" t="s">
        <v>1813</v>
      </c>
      <c r="N140" s="235" t="s">
        <v>37</v>
      </c>
      <c r="O140" s="235" t="s">
        <v>1820</v>
      </c>
      <c r="P140" s="235"/>
      <c r="Q140" s="237" t="s">
        <v>1813</v>
      </c>
      <c r="R140" s="237" t="s">
        <v>37</v>
      </c>
      <c r="S140" s="237" t="s">
        <v>1820</v>
      </c>
    </row>
    <row r="141" spans="2:19" customFormat="1" ht="16.5" thickTop="1" thickBot="1" x14ac:dyDescent="0.3">
      <c r="B141" s="104" t="s">
        <v>601</v>
      </c>
      <c r="C141" s="104" t="s">
        <v>507</v>
      </c>
      <c r="D141" s="104" t="s">
        <v>37</v>
      </c>
      <c r="E141" s="104" t="s">
        <v>8</v>
      </c>
      <c r="F141" s="104" t="s">
        <v>661</v>
      </c>
      <c r="G141" s="104" t="s">
        <v>126</v>
      </c>
      <c r="H141" s="104" t="s">
        <v>37</v>
      </c>
      <c r="I141" s="104" t="s">
        <v>390</v>
      </c>
      <c r="J141" s="104" t="s">
        <v>383</v>
      </c>
      <c r="K141" s="104" t="s">
        <v>125</v>
      </c>
      <c r="L141" s="104" t="s">
        <v>155</v>
      </c>
      <c r="M141" s="235" t="s">
        <v>1812</v>
      </c>
      <c r="N141" s="235" t="s">
        <v>37</v>
      </c>
      <c r="O141" s="235" t="s">
        <v>390</v>
      </c>
      <c r="P141" s="235"/>
      <c r="Q141" s="237" t="s">
        <v>1812</v>
      </c>
      <c r="R141" s="237" t="s">
        <v>37</v>
      </c>
      <c r="S141" s="237" t="s">
        <v>390</v>
      </c>
    </row>
    <row r="142" spans="2:19" customFormat="1" ht="16.5" thickTop="1" thickBot="1" x14ac:dyDescent="0.3">
      <c r="B142" s="104" t="s">
        <v>601</v>
      </c>
      <c r="C142" s="104" t="s">
        <v>507</v>
      </c>
      <c r="D142" s="104" t="s">
        <v>37</v>
      </c>
      <c r="E142" s="104" t="s">
        <v>9</v>
      </c>
      <c r="F142" s="104" t="s">
        <v>661</v>
      </c>
      <c r="G142" s="104" t="s">
        <v>127</v>
      </c>
      <c r="H142" s="104" t="s">
        <v>37</v>
      </c>
      <c r="I142" s="104" t="s">
        <v>391</v>
      </c>
      <c r="J142" s="104" t="s">
        <v>385</v>
      </c>
      <c r="K142" s="104" t="s">
        <v>125</v>
      </c>
      <c r="L142" s="104" t="s">
        <v>156</v>
      </c>
      <c r="M142" s="235" t="s">
        <v>1812</v>
      </c>
      <c r="N142" s="235" t="s">
        <v>37</v>
      </c>
      <c r="O142" s="235" t="s">
        <v>391</v>
      </c>
      <c r="P142" s="235"/>
      <c r="Q142" s="237" t="s">
        <v>1812</v>
      </c>
      <c r="R142" s="237" t="s">
        <v>37</v>
      </c>
      <c r="S142" s="237" t="s">
        <v>391</v>
      </c>
    </row>
    <row r="143" spans="2:19" customFormat="1" ht="16.5" thickTop="1" thickBot="1" x14ac:dyDescent="0.3">
      <c r="B143" s="104"/>
      <c r="C143" s="104"/>
      <c r="D143" s="104"/>
      <c r="E143" s="104"/>
      <c r="F143" s="104"/>
      <c r="G143" s="104"/>
      <c r="H143" s="104"/>
      <c r="I143" s="104"/>
      <c r="J143" s="104"/>
      <c r="K143" s="104"/>
      <c r="L143" s="104"/>
      <c r="M143" s="235" t="s">
        <v>1813</v>
      </c>
      <c r="N143" s="235" t="s">
        <v>37</v>
      </c>
      <c r="O143" s="235" t="s">
        <v>1821</v>
      </c>
      <c r="P143" s="235"/>
      <c r="Q143" s="237" t="s">
        <v>1813</v>
      </c>
      <c r="R143" s="237" t="s">
        <v>37</v>
      </c>
      <c r="S143" s="237" t="s">
        <v>1821</v>
      </c>
    </row>
    <row r="144" spans="2:19" customFormat="1" ht="16.5" thickTop="1" thickBot="1" x14ac:dyDescent="0.3">
      <c r="B144" s="104" t="s">
        <v>601</v>
      </c>
      <c r="C144" s="104" t="s">
        <v>507</v>
      </c>
      <c r="D144" s="104" t="s">
        <v>37</v>
      </c>
      <c r="E144" s="104" t="s">
        <v>10</v>
      </c>
      <c r="F144" s="104" t="s">
        <v>128</v>
      </c>
      <c r="G144" s="104"/>
      <c r="H144" s="104" t="s">
        <v>37</v>
      </c>
      <c r="I144" s="104" t="s">
        <v>379</v>
      </c>
      <c r="J144" s="104" t="s">
        <v>381</v>
      </c>
      <c r="K144" s="104" t="s">
        <v>128</v>
      </c>
      <c r="L144" s="104" t="s">
        <v>129</v>
      </c>
      <c r="M144" s="235" t="s">
        <v>1812</v>
      </c>
      <c r="N144" s="235" t="s">
        <v>37</v>
      </c>
      <c r="O144" s="235" t="s">
        <v>379</v>
      </c>
      <c r="P144" s="235"/>
      <c r="Q144" s="237" t="s">
        <v>1812</v>
      </c>
      <c r="R144" s="237" t="s">
        <v>37</v>
      </c>
      <c r="S144" s="237" t="s">
        <v>379</v>
      </c>
    </row>
    <row r="145" spans="2:19" customFormat="1" ht="16.5" thickTop="1" thickBot="1" x14ac:dyDescent="0.3">
      <c r="B145" s="104" t="s">
        <v>601</v>
      </c>
      <c r="C145" s="104" t="s">
        <v>507</v>
      </c>
      <c r="D145" s="104" t="s">
        <v>37</v>
      </c>
      <c r="E145" s="104" t="s">
        <v>30</v>
      </c>
      <c r="F145" s="104" t="s">
        <v>157</v>
      </c>
      <c r="G145" s="104"/>
      <c r="H145" s="104" t="s">
        <v>37</v>
      </c>
      <c r="I145" s="104" t="s">
        <v>566</v>
      </c>
      <c r="J145" s="104" t="s">
        <v>332</v>
      </c>
      <c r="K145" s="104" t="s">
        <v>44</v>
      </c>
      <c r="L145" s="104" t="s">
        <v>585</v>
      </c>
      <c r="M145" s="235" t="s">
        <v>1812</v>
      </c>
      <c r="N145" s="235" t="s">
        <v>37</v>
      </c>
      <c r="O145" s="235" t="s">
        <v>566</v>
      </c>
      <c r="P145" s="235"/>
      <c r="Q145" s="237" t="s">
        <v>1812</v>
      </c>
      <c r="R145" s="237" t="s">
        <v>37</v>
      </c>
      <c r="S145" s="237" t="s">
        <v>566</v>
      </c>
    </row>
    <row r="146" spans="2:19" customFormat="1" ht="16.5" thickTop="1" thickBot="1" x14ac:dyDescent="0.3">
      <c r="B146" s="104" t="s">
        <v>601</v>
      </c>
      <c r="C146" s="104" t="s">
        <v>507</v>
      </c>
      <c r="D146" s="104" t="s">
        <v>37</v>
      </c>
      <c r="E146" s="104" t="s">
        <v>31</v>
      </c>
      <c r="F146" s="104" t="s">
        <v>45</v>
      </c>
      <c r="G146" s="104"/>
      <c r="H146" s="104" t="s">
        <v>37</v>
      </c>
      <c r="I146" s="104" t="s">
        <v>568</v>
      </c>
      <c r="J146" s="104" t="s">
        <v>332</v>
      </c>
      <c r="K146" s="104" t="s">
        <v>45</v>
      </c>
      <c r="L146" s="104" t="s">
        <v>595</v>
      </c>
      <c r="M146" s="235" t="s">
        <v>1812</v>
      </c>
      <c r="N146" s="235" t="s">
        <v>37</v>
      </c>
      <c r="O146" s="235" t="s">
        <v>568</v>
      </c>
      <c r="P146" s="235"/>
      <c r="Q146" s="237" t="s">
        <v>1812</v>
      </c>
      <c r="R146" s="237" t="s">
        <v>37</v>
      </c>
      <c r="S146" s="237" t="s">
        <v>568</v>
      </c>
    </row>
    <row r="147" spans="2:19" customFormat="1" ht="16.5" thickTop="1" thickBot="1" x14ac:dyDescent="0.3">
      <c r="B147" s="104" t="s">
        <v>601</v>
      </c>
      <c r="C147" s="104" t="s">
        <v>507</v>
      </c>
      <c r="D147" s="104" t="s">
        <v>37</v>
      </c>
      <c r="E147" s="104" t="s">
        <v>33</v>
      </c>
      <c r="F147" s="104" t="s">
        <v>157</v>
      </c>
      <c r="G147" s="104"/>
      <c r="H147" s="104" t="s">
        <v>37</v>
      </c>
      <c r="I147" s="104" t="s">
        <v>1785</v>
      </c>
      <c r="J147" s="104" t="s">
        <v>332</v>
      </c>
      <c r="K147" s="104" t="s">
        <v>44</v>
      </c>
      <c r="L147" s="104" t="s">
        <v>587</v>
      </c>
      <c r="M147" s="235" t="s">
        <v>1812</v>
      </c>
      <c r="N147" s="235" t="s">
        <v>37</v>
      </c>
      <c r="O147" s="235" t="s">
        <v>1785</v>
      </c>
      <c r="P147" s="235"/>
      <c r="Q147" s="237" t="s">
        <v>1812</v>
      </c>
      <c r="R147" s="237" t="s">
        <v>37</v>
      </c>
      <c r="S147" s="237" t="s">
        <v>1785</v>
      </c>
    </row>
    <row r="148" spans="2:19" customFormat="1" ht="16.5" thickTop="1" thickBot="1" x14ac:dyDescent="0.3">
      <c r="B148" s="104" t="s">
        <v>601</v>
      </c>
      <c r="C148" s="104" t="s">
        <v>507</v>
      </c>
      <c r="D148" s="104" t="s">
        <v>37</v>
      </c>
      <c r="E148" s="104" t="s">
        <v>0</v>
      </c>
      <c r="F148" s="104" t="s">
        <v>157</v>
      </c>
      <c r="G148" s="104">
        <v>67891</v>
      </c>
      <c r="H148" s="104" t="s">
        <v>37</v>
      </c>
      <c r="I148" s="104" t="s">
        <v>1792</v>
      </c>
      <c r="J148" s="104" t="s">
        <v>332</v>
      </c>
      <c r="K148" s="104" t="s">
        <v>44</v>
      </c>
      <c r="L148" s="104" t="s">
        <v>580</v>
      </c>
      <c r="M148" s="235" t="s">
        <v>1812</v>
      </c>
      <c r="N148" s="235" t="s">
        <v>37</v>
      </c>
      <c r="O148" s="235" t="s">
        <v>1792</v>
      </c>
      <c r="P148" s="235"/>
      <c r="Q148" s="237" t="s">
        <v>1812</v>
      </c>
      <c r="R148" s="237" t="s">
        <v>37</v>
      </c>
      <c r="S148" s="237" t="s">
        <v>1792</v>
      </c>
    </row>
    <row r="149" spans="2:19" customFormat="1" ht="16.5" thickTop="1" thickBot="1" x14ac:dyDescent="0.3">
      <c r="B149" s="104"/>
      <c r="C149" s="104"/>
      <c r="D149" s="104"/>
      <c r="E149" s="104"/>
      <c r="F149" s="104"/>
      <c r="G149" s="104"/>
      <c r="H149" s="104"/>
      <c r="I149" s="104"/>
      <c r="J149" s="104"/>
      <c r="K149" s="104"/>
      <c r="L149" s="104"/>
      <c r="M149" s="235" t="s">
        <v>1813</v>
      </c>
      <c r="N149" s="235" t="s">
        <v>1811</v>
      </c>
      <c r="O149" s="235" t="s">
        <v>1795</v>
      </c>
      <c r="P149" s="235"/>
      <c r="Q149" s="237" t="s">
        <v>1813</v>
      </c>
      <c r="R149" s="237" t="s">
        <v>1811</v>
      </c>
      <c r="S149" s="237" t="s">
        <v>1795</v>
      </c>
    </row>
    <row r="150" spans="2:19" customFormat="1" ht="16.5" thickTop="1" thickBot="1" x14ac:dyDescent="0.3">
      <c r="B150" s="104"/>
      <c r="C150" s="104"/>
      <c r="D150" s="104"/>
      <c r="E150" s="104"/>
      <c r="F150" s="104"/>
      <c r="G150" s="104"/>
      <c r="H150" s="104"/>
      <c r="I150" s="104"/>
      <c r="J150" s="104"/>
      <c r="K150" s="104"/>
      <c r="L150" s="104"/>
      <c r="M150" s="235" t="s">
        <v>1813</v>
      </c>
      <c r="N150" s="235" t="s">
        <v>1811</v>
      </c>
      <c r="O150" s="235" t="s">
        <v>1824</v>
      </c>
      <c r="P150" s="235"/>
      <c r="Q150" s="237" t="s">
        <v>1813</v>
      </c>
      <c r="R150" s="237" t="s">
        <v>1811</v>
      </c>
      <c r="S150" s="237" t="s">
        <v>1824</v>
      </c>
    </row>
    <row r="151" spans="2:19" customFormat="1" ht="16.5" thickTop="1" thickBot="1" x14ac:dyDescent="0.3">
      <c r="B151" s="104" t="s">
        <v>601</v>
      </c>
      <c r="C151" s="104" t="s">
        <v>507</v>
      </c>
      <c r="D151" s="104" t="s">
        <v>331</v>
      </c>
      <c r="E151" s="104" t="s">
        <v>334</v>
      </c>
      <c r="F151" s="104" t="s">
        <v>45</v>
      </c>
      <c r="G151" s="104">
        <v>0.375</v>
      </c>
      <c r="H151" s="104" t="s">
        <v>884</v>
      </c>
      <c r="I151" s="104" t="s">
        <v>392</v>
      </c>
      <c r="J151" s="104" t="s">
        <v>384</v>
      </c>
      <c r="K151" s="104" t="s">
        <v>45</v>
      </c>
      <c r="L151" s="104" t="s">
        <v>738</v>
      </c>
      <c r="M151" s="235" t="s">
        <v>1812</v>
      </c>
      <c r="N151" s="235" t="s">
        <v>1811</v>
      </c>
      <c r="O151" s="235" t="s">
        <v>392</v>
      </c>
      <c r="P151" s="235"/>
      <c r="Q151" s="237" t="s">
        <v>1812</v>
      </c>
      <c r="R151" s="237" t="s">
        <v>1811</v>
      </c>
      <c r="S151" s="237" t="s">
        <v>392</v>
      </c>
    </row>
    <row r="152" spans="2:19" customFormat="1" ht="16.5" thickTop="1" thickBot="1" x14ac:dyDescent="0.3">
      <c r="B152" s="104" t="s">
        <v>601</v>
      </c>
      <c r="C152" s="104" t="s">
        <v>507</v>
      </c>
      <c r="D152" s="104" t="s">
        <v>331</v>
      </c>
      <c r="E152" s="104" t="s">
        <v>2</v>
      </c>
      <c r="F152" s="104" t="s">
        <v>157</v>
      </c>
      <c r="G152" s="104">
        <v>123</v>
      </c>
      <c r="H152" s="104" t="s">
        <v>884</v>
      </c>
      <c r="I152" s="104" t="s">
        <v>1747</v>
      </c>
      <c r="J152" s="104" t="s">
        <v>332</v>
      </c>
      <c r="K152" s="104" t="s">
        <v>44</v>
      </c>
      <c r="L152" s="104"/>
      <c r="M152" s="235" t="s">
        <v>1812</v>
      </c>
      <c r="N152" s="235" t="s">
        <v>1811</v>
      </c>
      <c r="O152" s="235" t="s">
        <v>1747</v>
      </c>
      <c r="P152" s="235"/>
      <c r="Q152" s="237" t="s">
        <v>1812</v>
      </c>
      <c r="R152" s="237" t="s">
        <v>1811</v>
      </c>
      <c r="S152" s="237" t="s">
        <v>1747</v>
      </c>
    </row>
    <row r="153" spans="2:19" customFormat="1" ht="16.5" thickTop="1" thickBot="1" x14ac:dyDescent="0.3">
      <c r="B153" s="104" t="s">
        <v>601</v>
      </c>
      <c r="C153" s="104" t="s">
        <v>507</v>
      </c>
      <c r="D153" s="104" t="s">
        <v>331</v>
      </c>
      <c r="E153" s="104" t="s">
        <v>162</v>
      </c>
      <c r="F153" s="104" t="s">
        <v>49</v>
      </c>
      <c r="G153" s="104">
        <v>42005</v>
      </c>
      <c r="H153" s="104" t="s">
        <v>884</v>
      </c>
      <c r="I153" s="104" t="s">
        <v>1794</v>
      </c>
      <c r="J153" s="104" t="s">
        <v>781</v>
      </c>
      <c r="K153" s="104" t="s">
        <v>49</v>
      </c>
      <c r="L153" s="104"/>
      <c r="M153" s="235" t="s">
        <v>1812</v>
      </c>
      <c r="N153" s="235" t="s">
        <v>1811</v>
      </c>
      <c r="O153" s="235" t="s">
        <v>1794</v>
      </c>
      <c r="P153" s="235"/>
      <c r="Q153" s="237" t="s">
        <v>1812</v>
      </c>
      <c r="R153" s="237" t="s">
        <v>1811</v>
      </c>
      <c r="S153" s="237" t="s">
        <v>1794</v>
      </c>
    </row>
    <row r="154" spans="2:19" customFormat="1" ht="16.5" thickTop="1" thickBot="1" x14ac:dyDescent="0.3">
      <c r="B154" s="104" t="s">
        <v>601</v>
      </c>
      <c r="C154" s="104" t="s">
        <v>507</v>
      </c>
      <c r="D154" s="104" t="s">
        <v>331</v>
      </c>
      <c r="E154" s="104" t="s">
        <v>3</v>
      </c>
      <c r="F154" s="104" t="s">
        <v>45</v>
      </c>
      <c r="G154" s="104">
        <v>1000</v>
      </c>
      <c r="H154" s="104" t="s">
        <v>884</v>
      </c>
      <c r="I154" s="104" t="s">
        <v>1746</v>
      </c>
      <c r="J154" s="104" t="s">
        <v>565</v>
      </c>
      <c r="K154" s="104" t="s">
        <v>45</v>
      </c>
      <c r="L154" s="104"/>
      <c r="M154" s="235" t="s">
        <v>1812</v>
      </c>
      <c r="N154" s="235" t="s">
        <v>1811</v>
      </c>
      <c r="O154" s="235" t="s">
        <v>1746</v>
      </c>
      <c r="P154" s="235"/>
      <c r="Q154" s="237" t="s">
        <v>1812</v>
      </c>
      <c r="R154" s="237" t="s">
        <v>1811</v>
      </c>
      <c r="S154" s="237" t="s">
        <v>1746</v>
      </c>
    </row>
    <row r="155" spans="2:19" customFormat="1" ht="16.5" thickTop="1" thickBot="1" x14ac:dyDescent="0.3">
      <c r="B155" s="104" t="s">
        <v>601</v>
      </c>
      <c r="C155" s="104" t="s">
        <v>507</v>
      </c>
      <c r="D155" s="104" t="s">
        <v>331</v>
      </c>
      <c r="E155" s="104" t="s">
        <v>335</v>
      </c>
      <c r="F155" s="104" t="s">
        <v>157</v>
      </c>
      <c r="G155" s="104"/>
      <c r="H155" s="104" t="s">
        <v>884</v>
      </c>
      <c r="I155" s="104" t="s">
        <v>776</v>
      </c>
      <c r="J155" s="104" t="s">
        <v>332</v>
      </c>
      <c r="K155" s="104" t="s">
        <v>44</v>
      </c>
      <c r="L155" s="104" t="s">
        <v>739</v>
      </c>
      <c r="M155" s="235" t="s">
        <v>1812</v>
      </c>
      <c r="N155" s="235" t="s">
        <v>1811</v>
      </c>
      <c r="O155" s="235" t="s">
        <v>776</v>
      </c>
      <c r="P155" s="235"/>
      <c r="Q155" s="237" t="s">
        <v>1812</v>
      </c>
      <c r="R155" s="237" t="s">
        <v>1811</v>
      </c>
      <c r="S155" s="237" t="s">
        <v>776</v>
      </c>
    </row>
    <row r="156" spans="2:19" customFormat="1" ht="16.5" thickTop="1" thickBot="1" x14ac:dyDescent="0.3">
      <c r="B156" s="104" t="s">
        <v>601</v>
      </c>
      <c r="C156" s="104" t="s">
        <v>507</v>
      </c>
      <c r="D156" s="104" t="s">
        <v>331</v>
      </c>
      <c r="E156" s="104" t="s">
        <v>22</v>
      </c>
      <c r="F156" s="104" t="s">
        <v>157</v>
      </c>
      <c r="G156" s="104"/>
      <c r="H156" s="104" t="s">
        <v>884</v>
      </c>
      <c r="I156" s="104" t="s">
        <v>1784</v>
      </c>
      <c r="J156" s="104" t="s">
        <v>332</v>
      </c>
      <c r="K156" s="104" t="s">
        <v>44</v>
      </c>
      <c r="L156" s="104" t="s">
        <v>300</v>
      </c>
      <c r="M156" s="235" t="s">
        <v>1812</v>
      </c>
      <c r="N156" s="235" t="s">
        <v>1811</v>
      </c>
      <c r="O156" s="235" t="s">
        <v>1784</v>
      </c>
      <c r="P156" s="235"/>
      <c r="Q156" s="237" t="s">
        <v>1812</v>
      </c>
      <c r="R156" s="237" t="s">
        <v>1811</v>
      </c>
      <c r="S156" s="237" t="s">
        <v>1784</v>
      </c>
    </row>
    <row r="157" spans="2:19" customFormat="1" ht="16.5" thickTop="1" thickBot="1" x14ac:dyDescent="0.3">
      <c r="B157" s="104" t="s">
        <v>601</v>
      </c>
      <c r="C157" s="104" t="s">
        <v>507</v>
      </c>
      <c r="D157" s="104" t="s">
        <v>331</v>
      </c>
      <c r="E157" s="104" t="s">
        <v>17</v>
      </c>
      <c r="F157" s="104" t="s">
        <v>45</v>
      </c>
      <c r="G157" s="104"/>
      <c r="H157" s="104" t="s">
        <v>884</v>
      </c>
      <c r="I157" s="104" t="s">
        <v>559</v>
      </c>
      <c r="J157" s="104" t="s">
        <v>377</v>
      </c>
      <c r="K157" s="104" t="s">
        <v>45</v>
      </c>
      <c r="L157" s="104"/>
      <c r="M157" s="235" t="s">
        <v>1812</v>
      </c>
      <c r="N157" s="235" t="s">
        <v>1811</v>
      </c>
      <c r="O157" s="235" t="s">
        <v>559</v>
      </c>
      <c r="P157" s="235"/>
      <c r="Q157" s="237" t="s">
        <v>1812</v>
      </c>
      <c r="R157" s="237" t="s">
        <v>1811</v>
      </c>
      <c r="S157" s="237" t="s">
        <v>559</v>
      </c>
    </row>
    <row r="158" spans="2:19" customFormat="1" ht="16.5" thickTop="1" thickBot="1" x14ac:dyDescent="0.3">
      <c r="B158" s="104" t="s">
        <v>601</v>
      </c>
      <c r="C158" s="104" t="s">
        <v>507</v>
      </c>
      <c r="D158" s="104" t="s">
        <v>331</v>
      </c>
      <c r="E158" s="104" t="s">
        <v>339</v>
      </c>
      <c r="F158" s="104" t="s">
        <v>130</v>
      </c>
      <c r="G158" s="104" t="b">
        <v>0</v>
      </c>
      <c r="H158" s="104" t="s">
        <v>884</v>
      </c>
      <c r="I158" s="104" t="s">
        <v>779</v>
      </c>
      <c r="J158" s="104" t="s">
        <v>780</v>
      </c>
      <c r="K158" s="104" t="s">
        <v>130</v>
      </c>
      <c r="L158" s="104" t="s">
        <v>328</v>
      </c>
      <c r="M158" s="235" t="s">
        <v>1812</v>
      </c>
      <c r="N158" s="235" t="s">
        <v>1811</v>
      </c>
      <c r="O158" s="235" t="s">
        <v>779</v>
      </c>
      <c r="P158" s="235"/>
      <c r="Q158" s="237" t="s">
        <v>1812</v>
      </c>
      <c r="R158" s="237" t="s">
        <v>1811</v>
      </c>
      <c r="S158" s="237" t="s">
        <v>779</v>
      </c>
    </row>
    <row r="159" spans="2:19" customFormat="1" ht="16.5" thickTop="1" thickBot="1" x14ac:dyDescent="0.3">
      <c r="B159" s="104" t="s">
        <v>601</v>
      </c>
      <c r="C159" s="104" t="s">
        <v>507</v>
      </c>
      <c r="D159" s="104" t="s">
        <v>331</v>
      </c>
      <c r="E159" s="104" t="s">
        <v>340</v>
      </c>
      <c r="F159" s="104" t="s">
        <v>130</v>
      </c>
      <c r="G159" s="104" t="b">
        <v>0</v>
      </c>
      <c r="H159" s="104" t="s">
        <v>884</v>
      </c>
      <c r="I159" s="104" t="s">
        <v>562</v>
      </c>
      <c r="J159" s="104" t="s">
        <v>378</v>
      </c>
      <c r="K159" s="104" t="s">
        <v>130</v>
      </c>
      <c r="L159" s="104" t="s">
        <v>327</v>
      </c>
      <c r="M159" s="235" t="s">
        <v>1812</v>
      </c>
      <c r="N159" s="235" t="s">
        <v>1811</v>
      </c>
      <c r="O159" s="235" t="s">
        <v>562</v>
      </c>
      <c r="P159" s="235"/>
      <c r="Q159" s="237" t="s">
        <v>1812</v>
      </c>
      <c r="R159" s="237" t="s">
        <v>1811</v>
      </c>
      <c r="S159" s="237" t="s">
        <v>562</v>
      </c>
    </row>
    <row r="160" spans="2:19" customFormat="1" ht="16.5" thickTop="1" thickBot="1" x14ac:dyDescent="0.3">
      <c r="B160" s="104" t="s">
        <v>601</v>
      </c>
      <c r="C160" s="104" t="s">
        <v>507</v>
      </c>
      <c r="D160" s="104" t="s">
        <v>331</v>
      </c>
      <c r="E160" s="104" t="s">
        <v>199</v>
      </c>
      <c r="F160" s="104" t="s">
        <v>157</v>
      </c>
      <c r="G160" s="104"/>
      <c r="H160" s="104" t="s">
        <v>884</v>
      </c>
      <c r="I160" s="104" t="s">
        <v>570</v>
      </c>
      <c r="J160" s="104" t="s">
        <v>332</v>
      </c>
      <c r="K160" s="104" t="s">
        <v>883</v>
      </c>
      <c r="L160" s="104" t="s">
        <v>305</v>
      </c>
      <c r="M160" s="235" t="s">
        <v>1812</v>
      </c>
      <c r="N160" s="235" t="s">
        <v>1811</v>
      </c>
      <c r="O160" s="235" t="s">
        <v>570</v>
      </c>
      <c r="P160" s="235"/>
      <c r="Q160" s="237" t="s">
        <v>1812</v>
      </c>
      <c r="R160" s="237" t="s">
        <v>1811</v>
      </c>
      <c r="S160" s="237" t="s">
        <v>570</v>
      </c>
    </row>
    <row r="161" spans="2:19" customFormat="1" ht="16.5" thickTop="1" thickBot="1" x14ac:dyDescent="0.3">
      <c r="B161" s="104" t="s">
        <v>601</v>
      </c>
      <c r="C161" s="104" t="s">
        <v>507</v>
      </c>
      <c r="D161" s="104" t="s">
        <v>331</v>
      </c>
      <c r="E161" s="104" t="s">
        <v>10</v>
      </c>
      <c r="F161" s="104" t="s">
        <v>128</v>
      </c>
      <c r="G161" s="104" t="s">
        <v>279</v>
      </c>
      <c r="H161" s="104" t="s">
        <v>884</v>
      </c>
      <c r="I161" s="104" t="s">
        <v>880</v>
      </c>
      <c r="J161" s="104" t="s">
        <v>882</v>
      </c>
      <c r="K161" s="104" t="s">
        <v>128</v>
      </c>
      <c r="L161" s="104" t="s">
        <v>881</v>
      </c>
      <c r="M161" s="235" t="s">
        <v>1812</v>
      </c>
      <c r="N161" s="235" t="s">
        <v>1811</v>
      </c>
      <c r="O161" s="235" t="s">
        <v>880</v>
      </c>
      <c r="P161" s="235"/>
      <c r="Q161" s="237" t="s">
        <v>1812</v>
      </c>
      <c r="R161" s="237" t="s">
        <v>1811</v>
      </c>
      <c r="S161" s="237" t="s">
        <v>880</v>
      </c>
    </row>
    <row r="162" spans="2:19" customFormat="1" ht="16.5" thickTop="1" thickBot="1" x14ac:dyDescent="0.3">
      <c r="B162" s="104" t="s">
        <v>601</v>
      </c>
      <c r="C162" s="104" t="s">
        <v>507</v>
      </c>
      <c r="D162" s="104" t="s">
        <v>331</v>
      </c>
      <c r="E162" s="104" t="s">
        <v>338</v>
      </c>
      <c r="F162" s="104" t="s">
        <v>45</v>
      </c>
      <c r="G162" s="104">
        <v>2000</v>
      </c>
      <c r="H162" s="104" t="s">
        <v>884</v>
      </c>
      <c r="I162" s="104" t="s">
        <v>778</v>
      </c>
      <c r="J162" s="104" t="s">
        <v>332</v>
      </c>
      <c r="K162" s="104" t="s">
        <v>45</v>
      </c>
      <c r="L162" s="104" t="s">
        <v>275</v>
      </c>
      <c r="M162" s="235" t="s">
        <v>1812</v>
      </c>
      <c r="N162" s="235" t="s">
        <v>1811</v>
      </c>
      <c r="O162" s="235" t="s">
        <v>778</v>
      </c>
      <c r="P162" s="235"/>
      <c r="Q162" s="237" t="s">
        <v>1812</v>
      </c>
      <c r="R162" s="237" t="s">
        <v>1811</v>
      </c>
      <c r="S162" s="237" t="s">
        <v>778</v>
      </c>
    </row>
    <row r="163" spans="2:19" customFormat="1" ht="16.5" thickTop="1" thickBot="1" x14ac:dyDescent="0.3">
      <c r="B163" s="104" t="s">
        <v>601</v>
      </c>
      <c r="C163" s="104" t="s">
        <v>507</v>
      </c>
      <c r="D163" s="104" t="s">
        <v>331</v>
      </c>
      <c r="E163" s="104" t="s">
        <v>337</v>
      </c>
      <c r="F163" s="104" t="s">
        <v>157</v>
      </c>
      <c r="G163" s="104"/>
      <c r="H163" s="104" t="s">
        <v>884</v>
      </c>
      <c r="I163" s="104" t="s">
        <v>1793</v>
      </c>
      <c r="J163" s="104" t="s">
        <v>332</v>
      </c>
      <c r="K163" s="104" t="s">
        <v>44</v>
      </c>
      <c r="L163" s="104" t="s">
        <v>302</v>
      </c>
      <c r="M163" s="235" t="s">
        <v>1812</v>
      </c>
      <c r="N163" s="235" t="s">
        <v>1811</v>
      </c>
      <c r="O163" s="235" t="s">
        <v>1793</v>
      </c>
      <c r="P163" s="235"/>
      <c r="Q163" s="237" t="s">
        <v>1812</v>
      </c>
      <c r="R163" s="237" t="s">
        <v>1811</v>
      </c>
      <c r="S163" s="237" t="s">
        <v>1793</v>
      </c>
    </row>
    <row r="164" spans="2:19" customFormat="1" ht="16.5" thickTop="1" thickBot="1" x14ac:dyDescent="0.3">
      <c r="B164" s="104" t="s">
        <v>601</v>
      </c>
      <c r="C164" s="104" t="s">
        <v>507</v>
      </c>
      <c r="D164" s="104" t="s">
        <v>331</v>
      </c>
      <c r="E164" s="104" t="s">
        <v>0</v>
      </c>
      <c r="F164" s="104" t="s">
        <v>157</v>
      </c>
      <c r="G164" s="104">
        <v>123</v>
      </c>
      <c r="H164" s="104" t="s">
        <v>884</v>
      </c>
      <c r="I164" s="104" t="s">
        <v>1795</v>
      </c>
      <c r="J164" s="104" t="s">
        <v>332</v>
      </c>
      <c r="K164" s="104" t="s">
        <v>44</v>
      </c>
      <c r="L164" s="104"/>
      <c r="M164" s="235" t="s">
        <v>1812</v>
      </c>
      <c r="N164" s="235" t="s">
        <v>1811</v>
      </c>
      <c r="O164" s="235" t="s">
        <v>1795</v>
      </c>
      <c r="P164" s="235"/>
      <c r="Q164" s="237" t="s">
        <v>1812</v>
      </c>
      <c r="R164" s="237" t="s">
        <v>1811</v>
      </c>
      <c r="S164" s="237" t="s">
        <v>1795</v>
      </c>
    </row>
    <row r="165" spans="2:19" customFormat="1" ht="16.5" thickTop="1" thickBot="1" x14ac:dyDescent="0.3">
      <c r="B165" s="104" t="s">
        <v>601</v>
      </c>
      <c r="C165" s="104" t="s">
        <v>507</v>
      </c>
      <c r="D165" s="104" t="s">
        <v>345</v>
      </c>
      <c r="E165" s="104" t="s">
        <v>159</v>
      </c>
      <c r="F165" s="104" t="s">
        <v>157</v>
      </c>
      <c r="G165" s="104">
        <v>98</v>
      </c>
      <c r="H165" s="104" t="s">
        <v>650</v>
      </c>
      <c r="I165" s="104" t="s">
        <v>159</v>
      </c>
      <c r="J165" s="104" t="s">
        <v>332</v>
      </c>
      <c r="K165" s="104" t="s">
        <v>157</v>
      </c>
      <c r="L165" s="104" t="s">
        <v>690</v>
      </c>
      <c r="M165" s="235"/>
      <c r="N165" s="235"/>
      <c r="O165" s="235"/>
      <c r="P165" s="235"/>
      <c r="Q165" s="235"/>
      <c r="R165" s="235"/>
      <c r="S165" s="235"/>
    </row>
    <row r="166" spans="2:19" customFormat="1" ht="16.5" thickTop="1" thickBot="1" x14ac:dyDescent="0.3">
      <c r="B166" s="104" t="s">
        <v>908</v>
      </c>
      <c r="C166" s="104" t="s">
        <v>507</v>
      </c>
      <c r="D166" s="104" t="s">
        <v>748</v>
      </c>
      <c r="E166" s="104" t="s">
        <v>875</v>
      </c>
      <c r="F166" s="104"/>
      <c r="G166" s="104"/>
      <c r="H166" s="104" t="s">
        <v>890</v>
      </c>
      <c r="I166" s="104" t="s">
        <v>669</v>
      </c>
      <c r="J166" s="104" t="s">
        <v>248</v>
      </c>
      <c r="K166" s="104"/>
      <c r="L166" s="104" t="s">
        <v>898</v>
      </c>
      <c r="M166" s="235"/>
      <c r="N166" s="235"/>
      <c r="O166" s="235"/>
      <c r="P166" s="235"/>
      <c r="Q166" s="235"/>
      <c r="R166" s="235"/>
      <c r="S166" s="235"/>
    </row>
    <row r="167" spans="2:19" customFormat="1" ht="16.5" thickTop="1" thickBot="1" x14ac:dyDescent="0.3">
      <c r="B167" s="104" t="s">
        <v>908</v>
      </c>
      <c r="C167" s="104" t="s">
        <v>507</v>
      </c>
      <c r="D167" s="104" t="s">
        <v>748</v>
      </c>
      <c r="E167" s="104" t="s">
        <v>876</v>
      </c>
      <c r="F167" s="104"/>
      <c r="G167" s="104">
        <v>123456</v>
      </c>
      <c r="H167" s="104" t="s">
        <v>890</v>
      </c>
      <c r="I167" s="104" t="s">
        <v>564</v>
      </c>
      <c r="J167" s="104" t="s">
        <v>565</v>
      </c>
      <c r="K167" s="104"/>
      <c r="L167" s="104" t="s">
        <v>897</v>
      </c>
      <c r="M167" s="235"/>
      <c r="N167" s="235"/>
      <c r="O167" s="235"/>
      <c r="P167" s="235"/>
      <c r="Q167" s="235"/>
      <c r="R167" s="235"/>
      <c r="S167" s="235"/>
    </row>
    <row r="168" spans="2:19" customFormat="1" ht="16.5" thickTop="1" thickBot="1" x14ac:dyDescent="0.3">
      <c r="B168" s="104" t="s">
        <v>908</v>
      </c>
      <c r="C168" s="104" t="s">
        <v>507</v>
      </c>
      <c r="D168" s="104" t="s">
        <v>748</v>
      </c>
      <c r="E168" s="104" t="s">
        <v>871</v>
      </c>
      <c r="F168" s="104"/>
      <c r="G168" s="104" t="s">
        <v>873</v>
      </c>
      <c r="H168" s="104" t="s">
        <v>890</v>
      </c>
      <c r="I168" s="104" t="s">
        <v>785</v>
      </c>
      <c r="J168" s="104" t="s">
        <v>877</v>
      </c>
      <c r="K168" s="104"/>
      <c r="L168" s="104" t="s">
        <v>900</v>
      </c>
      <c r="M168" s="235"/>
      <c r="N168" s="235"/>
      <c r="O168" s="235"/>
      <c r="P168" s="235"/>
      <c r="Q168" s="235"/>
      <c r="R168" s="235"/>
      <c r="S168" s="235"/>
    </row>
    <row r="169" spans="2:19" customFormat="1" ht="16.5" thickTop="1" thickBot="1" x14ac:dyDescent="0.3">
      <c r="B169" s="104" t="s">
        <v>908</v>
      </c>
      <c r="C169" s="104" t="s">
        <v>507</v>
      </c>
      <c r="D169" s="104" t="s">
        <v>748</v>
      </c>
      <c r="E169" s="104" t="s">
        <v>872</v>
      </c>
      <c r="F169" s="104" t="s">
        <v>342</v>
      </c>
      <c r="G169" s="104" t="s">
        <v>874</v>
      </c>
      <c r="H169" s="104" t="s">
        <v>890</v>
      </c>
      <c r="I169" s="104" t="s">
        <v>787</v>
      </c>
      <c r="J169" s="104" t="s">
        <v>878</v>
      </c>
      <c r="K169" s="104"/>
      <c r="L169" s="104" t="s">
        <v>899</v>
      </c>
      <c r="M169" s="235"/>
      <c r="N169" s="235"/>
      <c r="O169" s="235"/>
      <c r="P169" s="235"/>
      <c r="Q169" s="235"/>
      <c r="R169" s="235"/>
      <c r="S169" s="235"/>
    </row>
    <row r="170" spans="2:19" customFormat="1" ht="16.5" thickTop="1" thickBot="1" x14ac:dyDescent="0.3">
      <c r="B170" s="104"/>
      <c r="C170" s="104"/>
      <c r="D170" s="104"/>
      <c r="E170" s="104"/>
      <c r="F170" s="104"/>
      <c r="G170" s="104"/>
      <c r="H170" s="104"/>
      <c r="I170" s="104"/>
      <c r="J170" s="104"/>
      <c r="K170" s="104"/>
      <c r="L170" s="104"/>
      <c r="M170" s="235"/>
      <c r="N170" s="235"/>
      <c r="O170" s="235"/>
      <c r="P170" s="235"/>
      <c r="Q170" s="235"/>
      <c r="R170" s="235"/>
      <c r="S170" s="235"/>
    </row>
    <row r="171" spans="2:19" customFormat="1" ht="15.75" thickTop="1" x14ac:dyDescent="0.25"/>
  </sheetData>
  <sheetProtection autoFilter="0"/>
  <autoFilter ref="A3:T169" xr:uid="{2F727041-A49D-41B4-8A72-18D91E2821B5}"/>
  <mergeCells count="4">
    <mergeCell ref="B2:G2"/>
    <mergeCell ref="H2:L2"/>
    <mergeCell ref="M2:P2"/>
    <mergeCell ref="Q2:S2"/>
  </mergeCells>
  <phoneticPr fontId="47" type="noConversion"/>
  <conditionalFormatting sqref="E24:E25 E27:E28">
    <cfRule type="duplicateValues" dxfId="25" priority="176"/>
  </conditionalFormatting>
  <conditionalFormatting sqref="E26">
    <cfRule type="duplicateValues" dxfId="24" priority="174"/>
    <cfRule type="duplicateValues" dxfId="23" priority="175"/>
  </conditionalFormatting>
  <conditionalFormatting sqref="E27:E28">
    <cfRule type="duplicateValues" dxfId="22" priority="179"/>
  </conditionalFormatting>
  <conditionalFormatting sqref="E38:E40">
    <cfRule type="duplicateValues" dxfId="21" priority="181"/>
    <cfRule type="duplicateValues" dxfId="20" priority="182"/>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15743-827F-4EBD-AE74-E6BE8CF7E647}">
  <dimension ref="A1:BF337"/>
  <sheetViews>
    <sheetView zoomScale="83" zoomScaleNormal="70" workbookViewId="0">
      <pane xSplit="5" ySplit="25" topLeftCell="K42" activePane="bottomRight" state="frozen"/>
      <selection pane="topRight" activeCell="F1" sqref="F1"/>
      <selection pane="bottomLeft" activeCell="A26" sqref="A26"/>
      <selection pane="bottomRight" activeCell="AW17" sqref="AW17"/>
    </sheetView>
  </sheetViews>
  <sheetFormatPr defaultColWidth="8.42578125" defaultRowHeight="12.75" outlineLevelCol="1" x14ac:dyDescent="0.2"/>
  <cols>
    <col min="1" max="1" width="14" style="151" customWidth="1"/>
    <col min="2" max="2" width="17.42578125" style="151" customWidth="1"/>
    <col min="3" max="3" width="20.5703125" style="151" customWidth="1"/>
    <col min="4" max="4" width="19.42578125" style="151" customWidth="1"/>
    <col min="5" max="5" width="42.42578125" style="151" hidden="1" customWidth="1" outlineLevel="1"/>
    <col min="6" max="6" width="25.5703125" style="151" hidden="1" customWidth="1" outlineLevel="1"/>
    <col min="7" max="7" width="18.42578125" style="151" hidden="1" customWidth="1" outlineLevel="1"/>
    <col min="8" max="8" width="31.42578125" style="151" hidden="1" customWidth="1" outlineLevel="1"/>
    <col min="9" max="9" width="19.42578125" style="151" customWidth="1" collapsed="1"/>
    <col min="10" max="10" width="26.42578125" style="151" customWidth="1"/>
    <col min="11" max="11" width="33" style="151" customWidth="1"/>
    <col min="12" max="12" width="19.42578125" style="151" customWidth="1"/>
    <col min="13" max="13" width="22.5703125" style="151" hidden="1" customWidth="1" outlineLevel="1"/>
    <col min="14" max="14" width="44" style="151" hidden="1" customWidth="1" outlineLevel="1"/>
    <col min="15" max="15" width="34.42578125" style="151" hidden="1" customWidth="1" outlineLevel="1"/>
    <col min="16" max="16" width="17.42578125" style="151" hidden="1" customWidth="1" outlineLevel="1"/>
    <col min="17" max="17" width="27.5703125" style="151" customWidth="1" collapsed="1"/>
    <col min="18" max="18" width="40.5703125" style="151" customWidth="1" collapsed="1"/>
    <col min="19" max="19" width="11" style="151" customWidth="1" collapsed="1"/>
    <col min="20" max="20" width="44.42578125" style="151" customWidth="1"/>
    <col min="21" max="21" width="32.42578125" style="151" customWidth="1"/>
    <col min="22" max="22" width="34.42578125" style="151" customWidth="1"/>
    <col min="23" max="23" width="32.5703125" style="151" bestFit="1" customWidth="1"/>
    <col min="24" max="26" width="21.5703125" style="151" customWidth="1"/>
    <col min="27" max="28" width="21.5703125" style="37" hidden="1" customWidth="1"/>
    <col min="29" max="29" width="24.5703125" style="151" customWidth="1"/>
    <col min="30" max="30" width="21.5703125" style="151" customWidth="1"/>
    <col min="31" max="31" width="27.42578125" style="151" customWidth="1"/>
    <col min="32" max="33" width="21.5703125" style="151" customWidth="1"/>
    <col min="34" max="34" width="79.28515625" style="151" customWidth="1"/>
    <col min="35" max="35" width="97.42578125" style="148" customWidth="1"/>
    <col min="36" max="36" width="36.42578125" style="37" customWidth="1"/>
    <col min="37" max="37" width="31.42578125" style="37" customWidth="1"/>
    <col min="38" max="38" width="21.28515625" style="37" customWidth="1"/>
    <col min="39" max="39" width="21.5703125" style="37" customWidth="1"/>
    <col min="40" max="40" width="97.42578125" style="37" customWidth="1"/>
    <col min="41" max="42" width="20.42578125" style="130" customWidth="1"/>
    <col min="43" max="43" width="35.5703125" style="130" bestFit="1" customWidth="1"/>
    <col min="44" max="48" width="20.42578125" style="130" customWidth="1"/>
    <col min="49" max="49" width="20.42578125" style="131" customWidth="1"/>
    <col min="50" max="50" width="24.42578125" style="130" bestFit="1" customWidth="1"/>
    <col min="51" max="51" width="7.7109375" style="130" bestFit="1" customWidth="1"/>
    <col min="52" max="52" width="16.42578125" style="130" bestFit="1" customWidth="1"/>
    <col min="53" max="53" width="16.85546875" style="130" bestFit="1" customWidth="1"/>
    <col min="54" max="54" width="12.42578125" style="130" bestFit="1" customWidth="1"/>
    <col min="55" max="55" width="32.7109375" style="130" bestFit="1" customWidth="1"/>
    <col min="56" max="56" width="8.42578125" style="130"/>
    <col min="57" max="57" width="15.28515625" style="130" bestFit="1" customWidth="1"/>
    <col min="58" max="58" width="28.7109375" style="130" bestFit="1" customWidth="1"/>
    <col min="59" max="16384" width="8.42578125" style="130"/>
  </cols>
  <sheetData>
    <row r="1" spans="1:58" s="154" customFormat="1" ht="22.5" customHeight="1" x14ac:dyDescent="0.25">
      <c r="A1" s="151" t="s">
        <v>603</v>
      </c>
      <c r="O1" s="155" t="s">
        <v>590</v>
      </c>
      <c r="X1" s="244" t="s">
        <v>1432</v>
      </c>
      <c r="Y1" s="244"/>
      <c r="Z1" s="244"/>
      <c r="AA1" s="244"/>
      <c r="AB1" s="244"/>
      <c r="AC1" s="244"/>
      <c r="AD1" s="149"/>
      <c r="AE1" s="149"/>
      <c r="AF1" s="149"/>
      <c r="AG1" s="149"/>
      <c r="AH1" s="149"/>
      <c r="AI1" s="152"/>
      <c r="AJ1" s="132"/>
      <c r="AK1" s="132"/>
      <c r="AL1" s="132"/>
      <c r="AM1" s="132"/>
      <c r="AN1" s="132"/>
      <c r="AO1" s="245" t="s">
        <v>1561</v>
      </c>
      <c r="AP1" s="245"/>
      <c r="AQ1" s="245"/>
      <c r="AR1" s="245"/>
      <c r="AS1" s="245"/>
      <c r="AT1" s="245"/>
      <c r="AU1" s="245"/>
      <c r="AV1" s="245"/>
      <c r="AW1" s="162"/>
      <c r="AX1" s="246" t="s">
        <v>1715</v>
      </c>
      <c r="AY1" s="246"/>
      <c r="AZ1" s="246"/>
      <c r="BA1" s="246"/>
      <c r="BB1" s="246"/>
      <c r="BC1" s="246"/>
      <c r="BD1" s="246"/>
      <c r="BE1" s="246"/>
      <c r="BF1" s="220"/>
    </row>
    <row r="2" spans="1:58" s="166" customFormat="1" ht="47.25" customHeight="1" x14ac:dyDescent="0.25">
      <c r="A2" s="151" t="s">
        <v>937</v>
      </c>
      <c r="B2" s="156"/>
      <c r="C2" s="157"/>
      <c r="D2" s="156"/>
      <c r="E2" s="157"/>
      <c r="F2" s="157"/>
      <c r="G2" s="157"/>
      <c r="H2" s="157"/>
      <c r="I2" s="158" t="s">
        <v>938</v>
      </c>
      <c r="J2" s="159"/>
      <c r="K2" s="159"/>
      <c r="L2" s="159"/>
      <c r="M2" s="160"/>
      <c r="N2" s="160"/>
      <c r="O2" s="160"/>
      <c r="P2" s="160"/>
      <c r="Q2" s="247" t="s">
        <v>954</v>
      </c>
      <c r="R2" s="247"/>
      <c r="S2" s="247"/>
      <c r="T2" s="248" t="s">
        <v>1192</v>
      </c>
      <c r="U2" s="248"/>
      <c r="V2" s="248"/>
      <c r="W2" s="248"/>
      <c r="X2" s="161" t="s">
        <v>1193</v>
      </c>
      <c r="Y2" s="150"/>
      <c r="Z2" s="150"/>
      <c r="AA2" s="133"/>
      <c r="AB2" s="133"/>
      <c r="AC2" s="150"/>
      <c r="AD2" s="150"/>
      <c r="AE2" s="150"/>
      <c r="AF2" s="150"/>
      <c r="AG2" s="150"/>
      <c r="AH2" s="150"/>
      <c r="AI2" s="153"/>
      <c r="AJ2" s="134" t="s">
        <v>1194</v>
      </c>
      <c r="AK2" s="134"/>
      <c r="AL2" s="135"/>
      <c r="AM2" s="135"/>
      <c r="AN2" s="135"/>
      <c r="AO2" s="163" t="s">
        <v>1193</v>
      </c>
      <c r="AP2" s="164"/>
      <c r="AQ2" s="164"/>
      <c r="AR2" s="164"/>
      <c r="AS2" s="164"/>
      <c r="AT2" s="164"/>
      <c r="AU2" s="164"/>
      <c r="AV2" s="164"/>
      <c r="AW2" s="165"/>
      <c r="AX2" s="217" t="s">
        <v>1193</v>
      </c>
      <c r="AY2" s="217"/>
      <c r="AZ2" s="217"/>
      <c r="BA2" s="217"/>
      <c r="BB2" s="217"/>
      <c r="BC2" s="221"/>
      <c r="BD2" s="217"/>
      <c r="BE2" s="217"/>
      <c r="BF2" s="218"/>
    </row>
    <row r="3" spans="1:58" s="148" customFormat="1" ht="46.5" customHeight="1" x14ac:dyDescent="0.3">
      <c r="A3" s="151" t="s">
        <v>903</v>
      </c>
      <c r="B3" s="168" t="s">
        <v>944</v>
      </c>
      <c r="C3" s="168" t="s">
        <v>602</v>
      </c>
      <c r="D3" s="168" t="s">
        <v>943</v>
      </c>
      <c r="E3" s="168" t="s">
        <v>598</v>
      </c>
      <c r="F3" s="168" t="s">
        <v>927</v>
      </c>
      <c r="G3" s="168" t="s">
        <v>599</v>
      </c>
      <c r="H3" s="168" t="s">
        <v>600</v>
      </c>
      <c r="I3" s="169" t="s">
        <v>593</v>
      </c>
      <c r="J3" s="169" t="s">
        <v>625</v>
      </c>
      <c r="K3" s="169" t="s">
        <v>942</v>
      </c>
      <c r="L3" s="169" t="s">
        <v>941</v>
      </c>
      <c r="M3" s="169" t="s">
        <v>597</v>
      </c>
      <c r="N3" s="169" t="s">
        <v>596</v>
      </c>
      <c r="O3" s="169" t="s">
        <v>591</v>
      </c>
      <c r="P3" s="141" t="s">
        <v>939</v>
      </c>
      <c r="Q3" s="142" t="s">
        <v>1061</v>
      </c>
      <c r="R3" s="142" t="s">
        <v>1062</v>
      </c>
      <c r="S3" s="142" t="s">
        <v>1063</v>
      </c>
      <c r="T3" s="170" t="s">
        <v>1195</v>
      </c>
      <c r="U3" s="170" t="s">
        <v>1196</v>
      </c>
      <c r="V3" s="170" t="s">
        <v>1197</v>
      </c>
      <c r="W3" s="143" t="s">
        <v>43</v>
      </c>
      <c r="X3" s="144" t="s">
        <v>1198</v>
      </c>
      <c r="Y3" s="144" t="s">
        <v>1199</v>
      </c>
      <c r="Z3" s="144" t="s">
        <v>1200</v>
      </c>
      <c r="AA3" s="136" t="s">
        <v>1396</v>
      </c>
      <c r="AB3" s="137" t="s">
        <v>1401</v>
      </c>
      <c r="AC3" s="145" t="s">
        <v>1396</v>
      </c>
      <c r="AD3" s="145" t="s">
        <v>1419</v>
      </c>
      <c r="AE3" s="145" t="s">
        <v>1399</v>
      </c>
      <c r="AF3" s="145" t="s">
        <v>1550</v>
      </c>
      <c r="AG3" s="144" t="s">
        <v>1201</v>
      </c>
      <c r="AH3" s="144" t="s">
        <v>1202</v>
      </c>
      <c r="AI3" s="144" t="s">
        <v>43</v>
      </c>
      <c r="AJ3" s="138" t="s">
        <v>1395</v>
      </c>
      <c r="AK3" s="138" t="s">
        <v>1203</v>
      </c>
      <c r="AL3" s="138" t="s">
        <v>1204</v>
      </c>
      <c r="AM3" s="138" t="s">
        <v>1205</v>
      </c>
      <c r="AN3" s="139" t="s">
        <v>43</v>
      </c>
      <c r="AO3" s="146" t="s">
        <v>1198</v>
      </c>
      <c r="AP3" s="146" t="s">
        <v>1199</v>
      </c>
      <c r="AQ3" s="146" t="s">
        <v>1200</v>
      </c>
      <c r="AR3" s="146" t="s">
        <v>1396</v>
      </c>
      <c r="AS3" s="146" t="s">
        <v>1419</v>
      </c>
      <c r="AT3" s="146" t="s">
        <v>1399</v>
      </c>
      <c r="AU3" s="146" t="s">
        <v>1201</v>
      </c>
      <c r="AV3" s="146" t="s">
        <v>1202</v>
      </c>
      <c r="AW3" s="146" t="s">
        <v>43</v>
      </c>
      <c r="AX3" s="219" t="s">
        <v>1198</v>
      </c>
      <c r="AY3" s="219" t="s">
        <v>1199</v>
      </c>
      <c r="AZ3" s="219" t="s">
        <v>1200</v>
      </c>
      <c r="BA3" s="219" t="s">
        <v>1396</v>
      </c>
      <c r="BB3" s="219" t="s">
        <v>1419</v>
      </c>
      <c r="BC3" s="222" t="s">
        <v>1399</v>
      </c>
      <c r="BD3" s="219" t="s">
        <v>1201</v>
      </c>
      <c r="BE3" s="219" t="s">
        <v>1202</v>
      </c>
      <c r="BF3" s="219" t="s">
        <v>43</v>
      </c>
    </row>
    <row r="4" spans="1:58" s="140" customFormat="1" ht="25.5" x14ac:dyDescent="0.2">
      <c r="A4" s="171" t="s">
        <v>1416</v>
      </c>
      <c r="B4" s="171" t="s">
        <v>601</v>
      </c>
      <c r="C4" s="171" t="s">
        <v>507</v>
      </c>
      <c r="D4" s="172" t="s">
        <v>39</v>
      </c>
      <c r="E4" s="172" t="s">
        <v>83</v>
      </c>
      <c r="F4" s="172"/>
      <c r="G4" s="172" t="s">
        <v>49</v>
      </c>
      <c r="H4" s="172" t="s">
        <v>50</v>
      </c>
      <c r="I4" s="171" t="s">
        <v>594</v>
      </c>
      <c r="J4" s="172" t="s">
        <v>758</v>
      </c>
      <c r="K4" s="171" t="s">
        <v>745</v>
      </c>
      <c r="L4" s="172" t="s">
        <v>746</v>
      </c>
      <c r="M4" s="172" t="s">
        <v>56</v>
      </c>
      <c r="N4" s="172" t="s">
        <v>747</v>
      </c>
      <c r="O4" s="172" t="s">
        <v>342</v>
      </c>
      <c r="P4" s="173">
        <v>44301</v>
      </c>
      <c r="Q4" s="171" t="s">
        <v>745</v>
      </c>
      <c r="R4" s="171" t="s">
        <v>745</v>
      </c>
      <c r="S4" s="171"/>
      <c r="T4" s="171" t="s">
        <v>1206</v>
      </c>
      <c r="U4" s="171" t="s">
        <v>1208</v>
      </c>
      <c r="V4" s="171" t="s">
        <v>745</v>
      </c>
      <c r="W4" s="172"/>
      <c r="X4" s="171" t="s">
        <v>1383</v>
      </c>
      <c r="Y4" s="171" t="s">
        <v>1168</v>
      </c>
      <c r="Z4" s="174" t="s">
        <v>1144</v>
      </c>
      <c r="AA4" s="200" t="s">
        <v>745</v>
      </c>
      <c r="AB4" s="205"/>
      <c r="AC4" s="171"/>
      <c r="AD4" s="174" t="s">
        <v>1407</v>
      </c>
      <c r="AE4" s="174" t="s">
        <v>1282</v>
      </c>
      <c r="AF4" s="174" t="s">
        <v>1479</v>
      </c>
      <c r="AG4" s="174"/>
      <c r="AH4" s="174"/>
      <c r="AI4" s="176" t="s">
        <v>963</v>
      </c>
      <c r="AJ4" s="198" t="s">
        <v>1407</v>
      </c>
      <c r="AK4" s="177" t="s">
        <v>1282</v>
      </c>
      <c r="AL4" s="177"/>
      <c r="AM4" s="198"/>
      <c r="AN4" s="177" t="s">
        <v>963</v>
      </c>
      <c r="AO4" s="174" t="str">
        <f>X4</f>
        <v>wfm_dm_v1</v>
      </c>
      <c r="AP4" s="174" t="str">
        <f>Y4</f>
        <v>dim</v>
      </c>
      <c r="AQ4" s="174" t="str">
        <f>Z4</f>
        <v>dWorkCostCenter</v>
      </c>
      <c r="AR4" s="174">
        <f>AC4</f>
        <v>0</v>
      </c>
      <c r="AS4" s="174" t="str">
        <f>AD4</f>
        <v xml:space="preserve">Ansvar   </v>
      </c>
      <c r="AT4" s="174" t="str">
        <f>AE4</f>
        <v>Schema publicerat till och med datum</v>
      </c>
      <c r="AU4" s="174">
        <f>AG4</f>
        <v>0</v>
      </c>
      <c r="AV4" s="174">
        <f>AH4</f>
        <v>0</v>
      </c>
      <c r="AW4" s="176" t="str">
        <f>AI4</f>
        <v/>
      </c>
      <c r="AX4" s="37"/>
      <c r="AY4" s="37"/>
      <c r="AZ4" s="37"/>
      <c r="BA4" s="37"/>
      <c r="BB4" s="37"/>
      <c r="BC4" s="37"/>
      <c r="BD4" s="37"/>
      <c r="BE4" s="37"/>
      <c r="BF4" s="37"/>
    </row>
    <row r="5" spans="1:58" s="140" customFormat="1" ht="25.5" x14ac:dyDescent="0.2">
      <c r="A5" s="213"/>
      <c r="B5" s="213"/>
      <c r="C5" s="213"/>
      <c r="D5" s="213"/>
      <c r="E5" s="213"/>
      <c r="F5" s="213"/>
      <c r="G5" s="213"/>
      <c r="H5" s="213"/>
      <c r="I5" s="213"/>
      <c r="J5" s="213"/>
      <c r="K5" s="213"/>
      <c r="L5" s="213"/>
      <c r="M5" s="213"/>
      <c r="N5" s="213"/>
      <c r="O5" s="213"/>
      <c r="P5" s="213"/>
      <c r="Q5" s="213"/>
      <c r="R5" s="213"/>
      <c r="S5" s="213"/>
      <c r="T5" s="213"/>
      <c r="U5" s="213"/>
      <c r="V5" s="213"/>
      <c r="W5" s="213"/>
      <c r="X5" s="171"/>
      <c r="Y5" s="171"/>
      <c r="Z5" s="174"/>
      <c r="AA5" s="171"/>
      <c r="AB5" s="174" t="s">
        <v>1407</v>
      </c>
      <c r="AC5" s="174"/>
      <c r="AD5" s="174" t="s">
        <v>1407</v>
      </c>
      <c r="AE5" s="213" t="s">
        <v>1559</v>
      </c>
      <c r="AF5" s="213" t="s">
        <v>1479</v>
      </c>
      <c r="AG5" s="213"/>
      <c r="AH5" s="213"/>
      <c r="AI5" s="192" t="s">
        <v>1560</v>
      </c>
      <c r="AJ5" s="205"/>
      <c r="AK5" s="205"/>
      <c r="AL5" s="205"/>
      <c r="AM5" s="205"/>
      <c r="AN5" s="205"/>
      <c r="AO5" s="183"/>
      <c r="AP5" s="183"/>
      <c r="AQ5" s="183"/>
      <c r="AR5" s="183"/>
      <c r="AS5" s="183"/>
      <c r="AT5" s="183"/>
      <c r="AU5" s="183"/>
      <c r="AV5" s="183"/>
      <c r="AW5" s="185"/>
      <c r="AX5" s="130"/>
      <c r="AY5" s="130"/>
      <c r="AZ5" s="130"/>
      <c r="BA5" s="130"/>
      <c r="BB5" s="130"/>
      <c r="BC5" s="130"/>
      <c r="BD5" s="130"/>
      <c r="BE5" s="130"/>
      <c r="BF5" s="130"/>
    </row>
    <row r="6" spans="1:58" s="140" customFormat="1" ht="51" x14ac:dyDescent="0.2">
      <c r="A6" s="171" t="s">
        <v>1416</v>
      </c>
      <c r="B6" s="171" t="s">
        <v>652</v>
      </c>
      <c r="C6" s="171" t="s">
        <v>507</v>
      </c>
      <c r="D6" s="172" t="s">
        <v>909</v>
      </c>
      <c r="E6" s="172" t="s">
        <v>357</v>
      </c>
      <c r="F6" s="172" t="s">
        <v>911</v>
      </c>
      <c r="G6" s="172"/>
      <c r="H6" s="172"/>
      <c r="I6" s="172" t="s">
        <v>626</v>
      </c>
      <c r="J6" s="172" t="s">
        <v>670</v>
      </c>
      <c r="K6" s="172" t="s">
        <v>629</v>
      </c>
      <c r="L6" s="171" t="s">
        <v>357</v>
      </c>
      <c r="M6" s="172"/>
      <c r="N6" s="172"/>
      <c r="O6" s="172" t="s">
        <v>342</v>
      </c>
      <c r="P6" s="173">
        <v>44278</v>
      </c>
      <c r="Q6" s="171" t="s">
        <v>629</v>
      </c>
      <c r="R6" s="171" t="s">
        <v>629</v>
      </c>
      <c r="S6" s="172" t="s">
        <v>36</v>
      </c>
      <c r="T6" s="171" t="s">
        <v>1206</v>
      </c>
      <c r="U6" s="171" t="s">
        <v>1208</v>
      </c>
      <c r="V6" s="171" t="s">
        <v>629</v>
      </c>
      <c r="W6" s="171"/>
      <c r="X6" s="171" t="s">
        <v>1383</v>
      </c>
      <c r="Y6" s="171" t="s">
        <v>1168</v>
      </c>
      <c r="Z6" s="174" t="s">
        <v>1389</v>
      </c>
      <c r="AA6" s="175"/>
      <c r="AB6" s="175" t="s">
        <v>1406</v>
      </c>
      <c r="AC6" s="171" t="s">
        <v>629</v>
      </c>
      <c r="AD6" s="174" t="s">
        <v>1423</v>
      </c>
      <c r="AE6" s="174" t="s">
        <v>1478</v>
      </c>
      <c r="AF6" s="174" t="s">
        <v>1479</v>
      </c>
      <c r="AG6" s="174"/>
      <c r="AH6" s="174"/>
      <c r="AI6" s="186"/>
      <c r="AJ6" s="177" t="s">
        <v>1406</v>
      </c>
      <c r="AK6" s="177" t="s">
        <v>357</v>
      </c>
      <c r="AL6" s="177"/>
      <c r="AM6" s="177"/>
      <c r="AN6" s="177" t="s">
        <v>963</v>
      </c>
      <c r="AO6" s="174" t="str">
        <f t="shared" ref="AO6:AQ14" si="0">X6</f>
        <v>wfm_dm_v1</v>
      </c>
      <c r="AP6" s="174" t="str">
        <f t="shared" si="0"/>
        <v>dim</v>
      </c>
      <c r="AQ6" s="174" t="str">
        <f t="shared" si="0"/>
        <v>dWorkCostCenter / dHomeCostCenter</v>
      </c>
      <c r="AR6" s="174" t="str">
        <f t="shared" ref="AR6:AT12" si="1">AC6</f>
        <v>businessUnitCode</v>
      </c>
      <c r="AS6" s="174" t="str">
        <f t="shared" si="1"/>
        <v>Ansvar/Hemansvar</v>
      </c>
      <c r="AT6" s="174" t="str">
        <f t="shared" si="1"/>
        <v>Affärsenhet (id)</v>
      </c>
      <c r="AU6" s="174">
        <f t="shared" ref="AU6:AW14" si="2">AG6</f>
        <v>0</v>
      </c>
      <c r="AV6" s="174">
        <f t="shared" si="2"/>
        <v>0</v>
      </c>
      <c r="AW6" s="176">
        <f t="shared" si="2"/>
        <v>0</v>
      </c>
      <c r="AX6" s="130"/>
      <c r="AY6" s="130"/>
      <c r="AZ6" s="130"/>
      <c r="BA6" s="130"/>
      <c r="BB6" s="130"/>
      <c r="BC6" s="130"/>
      <c r="BD6" s="130"/>
      <c r="BE6" s="130"/>
      <c r="BF6" s="130"/>
    </row>
    <row r="7" spans="1:58" s="140" customFormat="1" x14ac:dyDescent="0.2">
      <c r="A7" s="171" t="s">
        <v>1416</v>
      </c>
      <c r="B7" s="171" t="s">
        <v>652</v>
      </c>
      <c r="C7" s="171" t="s">
        <v>507</v>
      </c>
      <c r="D7" s="172" t="s">
        <v>909</v>
      </c>
      <c r="E7" s="172" t="s">
        <v>358</v>
      </c>
      <c r="F7" s="172" t="s">
        <v>912</v>
      </c>
      <c r="G7" s="172"/>
      <c r="H7" s="172"/>
      <c r="I7" s="172" t="s">
        <v>626</v>
      </c>
      <c r="J7" s="172" t="s">
        <v>670</v>
      </c>
      <c r="K7" s="172" t="s">
        <v>630</v>
      </c>
      <c r="L7" s="171" t="s">
        <v>357</v>
      </c>
      <c r="M7" s="172"/>
      <c r="N7" s="172"/>
      <c r="O7" s="172" t="s">
        <v>342</v>
      </c>
      <c r="P7" s="173">
        <v>44278</v>
      </c>
      <c r="Q7" s="171" t="s">
        <v>630</v>
      </c>
      <c r="R7" s="171" t="s">
        <v>630</v>
      </c>
      <c r="S7" s="172"/>
      <c r="T7" s="171" t="s">
        <v>1206</v>
      </c>
      <c r="U7" s="171" t="s">
        <v>1208</v>
      </c>
      <c r="V7" s="171" t="s">
        <v>1033</v>
      </c>
      <c r="W7" s="171"/>
      <c r="X7" s="171" t="s">
        <v>1383</v>
      </c>
      <c r="Y7" s="171" t="s">
        <v>1168</v>
      </c>
      <c r="Z7" s="174" t="s">
        <v>1389</v>
      </c>
      <c r="AA7" s="175"/>
      <c r="AB7" s="175" t="s">
        <v>1406</v>
      </c>
      <c r="AC7" s="171" t="s">
        <v>1033</v>
      </c>
      <c r="AD7" s="174" t="s">
        <v>1423</v>
      </c>
      <c r="AE7" s="174" t="s">
        <v>357</v>
      </c>
      <c r="AF7" s="174" t="s">
        <v>1479</v>
      </c>
      <c r="AG7" s="174"/>
      <c r="AH7" s="174"/>
      <c r="AI7" s="176" t="s">
        <v>963</v>
      </c>
      <c r="AJ7" s="177" t="s">
        <v>1406</v>
      </c>
      <c r="AK7" s="177" t="s">
        <v>357</v>
      </c>
      <c r="AL7" s="177"/>
      <c r="AM7" s="177"/>
      <c r="AN7" s="177" t="s">
        <v>963</v>
      </c>
      <c r="AO7" s="174" t="str">
        <f t="shared" si="0"/>
        <v>wfm_dm_v1</v>
      </c>
      <c r="AP7" s="174" t="str">
        <f t="shared" si="0"/>
        <v>dim</v>
      </c>
      <c r="AQ7" s="174" t="str">
        <f t="shared" si="0"/>
        <v>dWorkCostCenter / dHomeCostCenter</v>
      </c>
      <c r="AR7" s="174" t="str">
        <f t="shared" si="1"/>
        <v>businessUnitName</v>
      </c>
      <c r="AS7" s="174" t="str">
        <f t="shared" si="1"/>
        <v>Ansvar/Hemansvar</v>
      </c>
      <c r="AT7" s="174" t="str">
        <f t="shared" si="1"/>
        <v>Affärsenhet</v>
      </c>
      <c r="AU7" s="174">
        <f t="shared" si="2"/>
        <v>0</v>
      </c>
      <c r="AV7" s="174">
        <f t="shared" si="2"/>
        <v>0</v>
      </c>
      <c r="AW7" s="176" t="str">
        <f t="shared" si="2"/>
        <v/>
      </c>
      <c r="AX7" s="151" t="s">
        <v>1632</v>
      </c>
      <c r="AY7" s="151" t="s">
        <v>1168</v>
      </c>
      <c r="AZ7" s="151" t="s">
        <v>1144</v>
      </c>
      <c r="BA7" s="151" t="s">
        <v>1033</v>
      </c>
      <c r="BB7" s="151" t="s">
        <v>248</v>
      </c>
      <c r="BC7" s="129" t="s">
        <v>357</v>
      </c>
      <c r="BD7" s="130"/>
      <c r="BE7" s="130"/>
      <c r="BF7" s="130"/>
    </row>
    <row r="8" spans="1:58" s="140" customFormat="1" x14ac:dyDescent="0.2">
      <c r="A8" s="171" t="s">
        <v>1416</v>
      </c>
      <c r="B8" s="171" t="s">
        <v>652</v>
      </c>
      <c r="C8" s="171" t="s">
        <v>507</v>
      </c>
      <c r="D8" s="172" t="s">
        <v>909</v>
      </c>
      <c r="E8" s="172" t="s">
        <v>352</v>
      </c>
      <c r="F8" s="172" t="s">
        <v>912</v>
      </c>
      <c r="G8" s="172"/>
      <c r="H8" s="172"/>
      <c r="I8" s="172" t="s">
        <v>626</v>
      </c>
      <c r="J8" s="172" t="s">
        <v>670</v>
      </c>
      <c r="K8" s="172" t="s">
        <v>631</v>
      </c>
      <c r="L8" s="171" t="s">
        <v>248</v>
      </c>
      <c r="M8" s="172"/>
      <c r="N8" s="172"/>
      <c r="O8" s="172" t="s">
        <v>342</v>
      </c>
      <c r="P8" s="173">
        <v>44293</v>
      </c>
      <c r="Q8" s="171" t="s">
        <v>631</v>
      </c>
      <c r="R8" s="171" t="s">
        <v>631</v>
      </c>
      <c r="S8" s="172"/>
      <c r="T8" s="171" t="s">
        <v>1206</v>
      </c>
      <c r="U8" s="171" t="s">
        <v>1208</v>
      </c>
      <c r="V8" s="171" t="s">
        <v>1028</v>
      </c>
      <c r="W8" s="171"/>
      <c r="X8" s="171" t="s">
        <v>1383</v>
      </c>
      <c r="Y8" s="171" t="s">
        <v>1168</v>
      </c>
      <c r="Z8" s="174" t="s">
        <v>1389</v>
      </c>
      <c r="AA8" s="175"/>
      <c r="AB8" s="175" t="s">
        <v>1406</v>
      </c>
      <c r="AC8" s="171" t="s">
        <v>1028</v>
      </c>
      <c r="AD8" s="174" t="s">
        <v>1423</v>
      </c>
      <c r="AE8" s="174" t="s">
        <v>1574</v>
      </c>
      <c r="AF8" s="174" t="s">
        <v>1479</v>
      </c>
      <c r="AG8" s="174"/>
      <c r="AH8" s="174"/>
      <c r="AI8" s="176" t="s">
        <v>1580</v>
      </c>
      <c r="AJ8" s="177" t="s">
        <v>1406</v>
      </c>
      <c r="AK8" s="177" t="s">
        <v>248</v>
      </c>
      <c r="AL8" s="177"/>
      <c r="AM8" s="177"/>
      <c r="AN8" s="177" t="s">
        <v>963</v>
      </c>
      <c r="AO8" s="174" t="str">
        <f t="shared" si="0"/>
        <v>wfm_dm_v1</v>
      </c>
      <c r="AP8" s="174" t="str">
        <f t="shared" si="0"/>
        <v>dim</v>
      </c>
      <c r="AQ8" s="174" t="str">
        <f t="shared" si="0"/>
        <v>dWorkCostCenter / dHomeCostCenter</v>
      </c>
      <c r="AR8" s="174" t="str">
        <f t="shared" si="1"/>
        <v>costCenterName</v>
      </c>
      <c r="AS8" s="174" t="str">
        <f t="shared" si="1"/>
        <v>Ansvar/Hemansvar</v>
      </c>
      <c r="AT8" s="174" t="str">
        <f t="shared" si="1"/>
        <v>Ansvar_PBI, Ansvar_PBI1, Ansvar _PBI2</v>
      </c>
      <c r="AU8" s="174">
        <f t="shared" si="2"/>
        <v>0</v>
      </c>
      <c r="AV8" s="174">
        <f t="shared" si="2"/>
        <v>0</v>
      </c>
      <c r="AW8" s="176" t="str">
        <f t="shared" si="2"/>
        <v>Ansvar där uppdrag utförs, dubblett av Ansvar för bruk i vissa rapporter där det är nödvändigt med dubblerade fält.</v>
      </c>
      <c r="BD8" s="130"/>
      <c r="BE8" s="130"/>
      <c r="BF8" s="130"/>
    </row>
    <row r="9" spans="1:58" s="140" customFormat="1" ht="76.5" x14ac:dyDescent="0.2">
      <c r="A9" s="171" t="s">
        <v>1416</v>
      </c>
      <c r="B9" s="171" t="s">
        <v>652</v>
      </c>
      <c r="C9" s="171" t="s">
        <v>507</v>
      </c>
      <c r="D9" s="172" t="s">
        <v>909</v>
      </c>
      <c r="E9" s="172" t="s">
        <v>363</v>
      </c>
      <c r="F9" s="172" t="s">
        <v>914</v>
      </c>
      <c r="G9" s="172"/>
      <c r="H9" s="172"/>
      <c r="I9" s="172" t="s">
        <v>626</v>
      </c>
      <c r="J9" s="172" t="s">
        <v>670</v>
      </c>
      <c r="K9" s="172" t="s">
        <v>632</v>
      </c>
      <c r="L9" s="171" t="s">
        <v>647</v>
      </c>
      <c r="M9" s="172"/>
      <c r="N9" s="172" t="s">
        <v>645</v>
      </c>
      <c r="O9" s="172" t="s">
        <v>342</v>
      </c>
      <c r="P9" s="173">
        <v>44278</v>
      </c>
      <c r="Q9" s="171" t="s">
        <v>632</v>
      </c>
      <c r="R9" s="171" t="s">
        <v>632</v>
      </c>
      <c r="S9" s="172"/>
      <c r="T9" s="171" t="s">
        <v>1206</v>
      </c>
      <c r="U9" s="171" t="s">
        <v>1208</v>
      </c>
      <c r="V9" s="171" t="s">
        <v>632</v>
      </c>
      <c r="W9" s="171"/>
      <c r="X9" s="171" t="s">
        <v>1383</v>
      </c>
      <c r="Y9" s="171" t="s">
        <v>1168</v>
      </c>
      <c r="Z9" s="174" t="s">
        <v>1389</v>
      </c>
      <c r="AA9" s="175"/>
      <c r="AB9" s="175" t="s">
        <v>1406</v>
      </c>
      <c r="AC9" s="171" t="s">
        <v>632</v>
      </c>
      <c r="AD9" s="174" t="s">
        <v>1423</v>
      </c>
      <c r="AE9" s="174" t="s">
        <v>647</v>
      </c>
      <c r="AF9" s="174" t="s">
        <v>1479</v>
      </c>
      <c r="AG9" s="174"/>
      <c r="AH9" s="174"/>
      <c r="AI9" s="176" t="s">
        <v>963</v>
      </c>
      <c r="AJ9" s="177" t="s">
        <v>1406</v>
      </c>
      <c r="AK9" s="177" t="s">
        <v>647</v>
      </c>
      <c r="AL9" s="177"/>
      <c r="AM9" s="177"/>
      <c r="AN9" s="177" t="s">
        <v>963</v>
      </c>
      <c r="AO9" s="174" t="str">
        <f t="shared" si="0"/>
        <v>wfm_dm_v1</v>
      </c>
      <c r="AP9" s="174" t="str">
        <f t="shared" si="0"/>
        <v>dim</v>
      </c>
      <c r="AQ9" s="174" t="str">
        <f t="shared" si="0"/>
        <v>dWorkCostCenter / dHomeCostCenter</v>
      </c>
      <c r="AR9" s="174" t="str">
        <f t="shared" si="1"/>
        <v>costCenterType</v>
      </c>
      <c r="AS9" s="174" t="str">
        <f t="shared" si="1"/>
        <v>Ansvar/Hemansvar</v>
      </c>
      <c r="AT9" s="174" t="str">
        <f t="shared" si="1"/>
        <v>Ansvarstyp</v>
      </c>
      <c r="AU9" s="174">
        <f t="shared" si="2"/>
        <v>0</v>
      </c>
      <c r="AV9" s="174">
        <f t="shared" si="2"/>
        <v>0</v>
      </c>
      <c r="AW9" s="176" t="str">
        <f t="shared" si="2"/>
        <v/>
      </c>
      <c r="BD9" s="130"/>
      <c r="BE9" s="130"/>
      <c r="BF9" s="130"/>
    </row>
    <row r="10" spans="1:58" s="140" customFormat="1" ht="25.5" x14ac:dyDescent="0.2">
      <c r="A10" s="171" t="s">
        <v>1416</v>
      </c>
      <c r="B10" s="171" t="s">
        <v>652</v>
      </c>
      <c r="C10" s="171" t="s">
        <v>507</v>
      </c>
      <c r="D10" s="172" t="s">
        <v>909</v>
      </c>
      <c r="E10" s="172" t="s">
        <v>364</v>
      </c>
      <c r="F10" s="172" t="s">
        <v>915</v>
      </c>
      <c r="G10" s="172"/>
      <c r="H10" s="172"/>
      <c r="I10" s="172" t="s">
        <v>626</v>
      </c>
      <c r="J10" s="172" t="s">
        <v>670</v>
      </c>
      <c r="K10" s="172" t="s">
        <v>633</v>
      </c>
      <c r="L10" s="171" t="s">
        <v>648</v>
      </c>
      <c r="M10" s="172"/>
      <c r="N10" s="172" t="s">
        <v>646</v>
      </c>
      <c r="O10" s="172" t="s">
        <v>342</v>
      </c>
      <c r="P10" s="173">
        <v>44278</v>
      </c>
      <c r="Q10" s="171" t="s">
        <v>633</v>
      </c>
      <c r="R10" s="171" t="s">
        <v>633</v>
      </c>
      <c r="S10" s="172"/>
      <c r="T10" s="171" t="s">
        <v>1206</v>
      </c>
      <c r="U10" s="171" t="s">
        <v>1208</v>
      </c>
      <c r="V10" s="171" t="s">
        <v>1036</v>
      </c>
      <c r="W10" s="171"/>
      <c r="X10" s="171" t="s">
        <v>1383</v>
      </c>
      <c r="Y10" s="171" t="s">
        <v>1168</v>
      </c>
      <c r="Z10" s="174" t="s">
        <v>1389</v>
      </c>
      <c r="AA10" s="175"/>
      <c r="AB10" s="175" t="s">
        <v>1406</v>
      </c>
      <c r="AC10" s="171" t="s">
        <v>1036</v>
      </c>
      <c r="AD10" s="174" t="s">
        <v>1423</v>
      </c>
      <c r="AE10" s="174" t="s">
        <v>648</v>
      </c>
      <c r="AF10" s="174" t="s">
        <v>1479</v>
      </c>
      <c r="AG10" s="174"/>
      <c r="AH10" s="174"/>
      <c r="AI10" s="176" t="s">
        <v>963</v>
      </c>
      <c r="AJ10" s="177" t="s">
        <v>1406</v>
      </c>
      <c r="AK10" s="177" t="s">
        <v>648</v>
      </c>
      <c r="AL10" s="177"/>
      <c r="AM10" s="177"/>
      <c r="AN10" s="177" t="s">
        <v>963</v>
      </c>
      <c r="AO10" s="174" t="str">
        <f t="shared" si="0"/>
        <v>wfm_dm_v1</v>
      </c>
      <c r="AP10" s="174" t="str">
        <f t="shared" si="0"/>
        <v>dim</v>
      </c>
      <c r="AQ10" s="174" t="str">
        <f t="shared" si="0"/>
        <v>dWorkCostCenter / dHomeCostCenter</v>
      </c>
      <c r="AR10" s="174" t="str">
        <f t="shared" si="1"/>
        <v>costCenterTypeName</v>
      </c>
      <c r="AS10" s="174" t="str">
        <f t="shared" si="1"/>
        <v>Ansvar/Hemansvar</v>
      </c>
      <c r="AT10" s="174" t="str">
        <f t="shared" si="1"/>
        <v>Ansvarstypsbenämning</v>
      </c>
      <c r="AU10" s="174">
        <f t="shared" si="2"/>
        <v>0</v>
      </c>
      <c r="AV10" s="174">
        <f t="shared" si="2"/>
        <v>0</v>
      </c>
      <c r="AW10" s="176" t="str">
        <f t="shared" si="2"/>
        <v/>
      </c>
      <c r="BD10" s="130"/>
      <c r="BE10" s="130"/>
      <c r="BF10" s="130"/>
    </row>
    <row r="11" spans="1:58" s="140" customFormat="1" ht="51" x14ac:dyDescent="0.2">
      <c r="A11" s="171" t="s">
        <v>1416</v>
      </c>
      <c r="B11" s="171" t="s">
        <v>652</v>
      </c>
      <c r="C11" s="171" t="s">
        <v>507</v>
      </c>
      <c r="D11" s="172" t="s">
        <v>909</v>
      </c>
      <c r="E11" s="172" t="s">
        <v>355</v>
      </c>
      <c r="F11" s="172" t="s">
        <v>916</v>
      </c>
      <c r="G11" s="172"/>
      <c r="H11" s="172"/>
      <c r="I11" s="172" t="s">
        <v>626</v>
      </c>
      <c r="J11" s="172" t="s">
        <v>670</v>
      </c>
      <c r="K11" s="172" t="s">
        <v>634</v>
      </c>
      <c r="L11" s="171" t="s">
        <v>355</v>
      </c>
      <c r="M11" s="172"/>
      <c r="N11" s="172"/>
      <c r="O11" s="172" t="s">
        <v>342</v>
      </c>
      <c r="P11" s="173">
        <v>44278</v>
      </c>
      <c r="Q11" s="171" t="s">
        <v>634</v>
      </c>
      <c r="R11" s="171" t="s">
        <v>634</v>
      </c>
      <c r="S11" s="172" t="s">
        <v>36</v>
      </c>
      <c r="T11" s="171" t="s">
        <v>1206</v>
      </c>
      <c r="U11" s="171" t="s">
        <v>1208</v>
      </c>
      <c r="V11" s="171" t="s">
        <v>634</v>
      </c>
      <c r="W11" s="171"/>
      <c r="X11" s="171" t="s">
        <v>1383</v>
      </c>
      <c r="Y11" s="171" t="s">
        <v>1168</v>
      </c>
      <c r="Z11" s="174" t="s">
        <v>1389</v>
      </c>
      <c r="AA11" s="175"/>
      <c r="AB11" s="175" t="s">
        <v>1406</v>
      </c>
      <c r="AC11" s="171" t="s">
        <v>634</v>
      </c>
      <c r="AD11" s="174" t="s">
        <v>1423</v>
      </c>
      <c r="AE11" s="174" t="s">
        <v>1519</v>
      </c>
      <c r="AF11" s="174" t="s">
        <v>1479</v>
      </c>
      <c r="AG11" s="174"/>
      <c r="AH11" s="174"/>
      <c r="AI11" s="176" t="s">
        <v>963</v>
      </c>
      <c r="AJ11" s="177" t="s">
        <v>1406</v>
      </c>
      <c r="AK11" s="177"/>
      <c r="AL11" s="177"/>
      <c r="AM11" s="177"/>
      <c r="AN11" s="177" t="s">
        <v>963</v>
      </c>
      <c r="AO11" s="174" t="str">
        <f t="shared" si="0"/>
        <v>wfm_dm_v1</v>
      </c>
      <c r="AP11" s="174" t="str">
        <f t="shared" si="0"/>
        <v>dim</v>
      </c>
      <c r="AQ11" s="174" t="str">
        <f t="shared" si="0"/>
        <v>dWorkCostCenter / dHomeCostCenter</v>
      </c>
      <c r="AR11" s="174" t="str">
        <f t="shared" si="1"/>
        <v>districtCode</v>
      </c>
      <c r="AS11" s="174" t="str">
        <f t="shared" si="1"/>
        <v>Ansvar/Hemansvar</v>
      </c>
      <c r="AT11" s="174" t="str">
        <f t="shared" si="1"/>
        <v xml:space="preserve">Distrikt (id) </v>
      </c>
      <c r="AU11" s="174">
        <f t="shared" si="2"/>
        <v>0</v>
      </c>
      <c r="AV11" s="174">
        <f t="shared" si="2"/>
        <v>0</v>
      </c>
      <c r="AW11" s="176" t="str">
        <f t="shared" si="2"/>
        <v/>
      </c>
      <c r="AX11" s="130"/>
      <c r="AY11" s="130"/>
      <c r="AZ11" s="130"/>
      <c r="BA11" s="130"/>
      <c r="BB11" s="130"/>
      <c r="BC11" s="130"/>
      <c r="BD11" s="130"/>
      <c r="BE11" s="130"/>
      <c r="BF11" s="130"/>
    </row>
    <row r="12" spans="1:58" s="140" customFormat="1" x14ac:dyDescent="0.2">
      <c r="A12" s="171" t="s">
        <v>1416</v>
      </c>
      <c r="B12" s="171" t="s">
        <v>652</v>
      </c>
      <c r="C12" s="171" t="s">
        <v>507</v>
      </c>
      <c r="D12" s="172" t="s">
        <v>909</v>
      </c>
      <c r="E12" s="172" t="s">
        <v>356</v>
      </c>
      <c r="F12" s="172" t="s">
        <v>912</v>
      </c>
      <c r="G12" s="172"/>
      <c r="H12" s="172"/>
      <c r="I12" s="172" t="s">
        <v>626</v>
      </c>
      <c r="J12" s="172" t="s">
        <v>670</v>
      </c>
      <c r="K12" s="172" t="s">
        <v>635</v>
      </c>
      <c r="L12" s="171" t="s">
        <v>355</v>
      </c>
      <c r="M12" s="172"/>
      <c r="N12" s="172"/>
      <c r="O12" s="172" t="s">
        <v>342</v>
      </c>
      <c r="P12" s="173">
        <v>44278</v>
      </c>
      <c r="Q12" s="171" t="s">
        <v>635</v>
      </c>
      <c r="R12" s="171" t="s">
        <v>635</v>
      </c>
      <c r="S12" s="172"/>
      <c r="T12" s="171" t="s">
        <v>1206</v>
      </c>
      <c r="U12" s="171" t="s">
        <v>1208</v>
      </c>
      <c r="V12" s="171" t="s">
        <v>1032</v>
      </c>
      <c r="W12" s="171"/>
      <c r="X12" s="171" t="s">
        <v>1383</v>
      </c>
      <c r="Y12" s="171" t="s">
        <v>1168</v>
      </c>
      <c r="Z12" s="174" t="s">
        <v>1389</v>
      </c>
      <c r="AA12" s="175"/>
      <c r="AB12" s="175" t="s">
        <v>1406</v>
      </c>
      <c r="AC12" s="171" t="s">
        <v>1032</v>
      </c>
      <c r="AD12" s="174" t="s">
        <v>1423</v>
      </c>
      <c r="AE12" s="174" t="s">
        <v>355</v>
      </c>
      <c r="AF12" s="174" t="s">
        <v>1479</v>
      </c>
      <c r="AG12" s="174"/>
      <c r="AH12" s="174"/>
      <c r="AI12" s="176" t="s">
        <v>963</v>
      </c>
      <c r="AJ12" s="177" t="s">
        <v>1406</v>
      </c>
      <c r="AK12" s="177" t="s">
        <v>355</v>
      </c>
      <c r="AL12" s="177"/>
      <c r="AM12" s="177"/>
      <c r="AN12" s="177" t="s">
        <v>963</v>
      </c>
      <c r="AO12" s="174" t="str">
        <f t="shared" si="0"/>
        <v>wfm_dm_v1</v>
      </c>
      <c r="AP12" s="174" t="str">
        <f t="shared" si="0"/>
        <v>dim</v>
      </c>
      <c r="AQ12" s="174" t="str">
        <f t="shared" si="0"/>
        <v>dWorkCostCenter / dHomeCostCenter</v>
      </c>
      <c r="AR12" s="174" t="str">
        <f t="shared" si="1"/>
        <v>districtName</v>
      </c>
      <c r="AS12" s="174" t="str">
        <f t="shared" si="1"/>
        <v>Ansvar/Hemansvar</v>
      </c>
      <c r="AT12" s="174" t="str">
        <f t="shared" si="1"/>
        <v>Distrikt</v>
      </c>
      <c r="AU12" s="174">
        <f t="shared" si="2"/>
        <v>0</v>
      </c>
      <c r="AV12" s="174">
        <f t="shared" si="2"/>
        <v>0</v>
      </c>
      <c r="AW12" s="176" t="str">
        <f t="shared" si="2"/>
        <v/>
      </c>
      <c r="AX12" s="151" t="s">
        <v>1632</v>
      </c>
      <c r="AY12" s="151" t="s">
        <v>1168</v>
      </c>
      <c r="AZ12" s="151" t="s">
        <v>1144</v>
      </c>
      <c r="BA12" s="151" t="s">
        <v>1032</v>
      </c>
      <c r="BB12" s="151" t="s">
        <v>248</v>
      </c>
      <c r="BC12" s="129" t="s">
        <v>355</v>
      </c>
      <c r="BD12" s="130"/>
      <c r="BE12" s="130"/>
      <c r="BF12" s="130"/>
    </row>
    <row r="13" spans="1:58" s="140" customFormat="1" ht="25.5" x14ac:dyDescent="0.2">
      <c r="A13" s="171" t="s">
        <v>1416</v>
      </c>
      <c r="B13" s="171" t="s">
        <v>652</v>
      </c>
      <c r="C13" s="171" t="s">
        <v>507</v>
      </c>
      <c r="D13" s="172" t="s">
        <v>909</v>
      </c>
      <c r="E13" s="171" t="s">
        <v>365</v>
      </c>
      <c r="F13" s="172" t="s">
        <v>917</v>
      </c>
      <c r="G13" s="172"/>
      <c r="H13" s="172"/>
      <c r="I13" s="172" t="s">
        <v>626</v>
      </c>
      <c r="J13" s="172" t="s">
        <v>670</v>
      </c>
      <c r="K13" s="172" t="s">
        <v>636</v>
      </c>
      <c r="L13" s="171" t="s">
        <v>678</v>
      </c>
      <c r="M13" s="172" t="s">
        <v>56</v>
      </c>
      <c r="N13" s="172" t="s">
        <v>674</v>
      </c>
      <c r="O13" s="172" t="s">
        <v>342</v>
      </c>
      <c r="P13" s="173">
        <v>44278</v>
      </c>
      <c r="Q13" s="171" t="s">
        <v>636</v>
      </c>
      <c r="R13" s="171" t="s">
        <v>636</v>
      </c>
      <c r="S13" s="172"/>
      <c r="T13" s="171" t="s">
        <v>1206</v>
      </c>
      <c r="U13" s="171" t="s">
        <v>1208</v>
      </c>
      <c r="V13" s="171" t="s">
        <v>987</v>
      </c>
      <c r="W13" s="171"/>
      <c r="X13" s="171" t="s">
        <v>1383</v>
      </c>
      <c r="Y13" s="171" t="s">
        <v>1168</v>
      </c>
      <c r="Z13" s="174" t="s">
        <v>1389</v>
      </c>
      <c r="AA13" s="175"/>
      <c r="AB13" s="175" t="s">
        <v>1406</v>
      </c>
      <c r="AC13" s="171" t="s">
        <v>987</v>
      </c>
      <c r="AD13" s="174" t="s">
        <v>1423</v>
      </c>
      <c r="AE13" s="174" t="s">
        <v>1520</v>
      </c>
      <c r="AF13" s="174" t="s">
        <v>1479</v>
      </c>
      <c r="AG13" s="174"/>
      <c r="AH13" s="174"/>
      <c r="AI13" s="176" t="s">
        <v>1480</v>
      </c>
      <c r="AJ13" s="177" t="s">
        <v>1406</v>
      </c>
      <c r="AK13" s="177" t="s">
        <v>678</v>
      </c>
      <c r="AL13" s="177"/>
      <c r="AM13" s="177"/>
      <c r="AN13" s="177" t="s">
        <v>963</v>
      </c>
      <c r="AO13" s="174" t="str">
        <f t="shared" si="0"/>
        <v>wfm_dm_v1</v>
      </c>
      <c r="AP13" s="174" t="str">
        <f t="shared" si="0"/>
        <v>dim</v>
      </c>
      <c r="AQ13" s="174" t="str">
        <f t="shared" si="0"/>
        <v>dWorkCostCenter / dHomeCostCenter</v>
      </c>
      <c r="AR13" s="174" t="str">
        <f>AC13</f>
        <v>activeFromDate</v>
      </c>
      <c r="AS13" s="174" t="str">
        <f>AD13</f>
        <v>Ansvar/Hemansvar</v>
      </c>
      <c r="AT13" s="174" t="e">
        <f>#REF!</f>
        <v>#REF!</v>
      </c>
      <c r="AU13" s="174">
        <f t="shared" si="2"/>
        <v>0</v>
      </c>
      <c r="AV13" s="174">
        <f t="shared" si="2"/>
        <v>0</v>
      </c>
      <c r="AW13" s="176" t="str">
        <f t="shared" si="2"/>
        <v>Ansvarets giltighetstid</v>
      </c>
      <c r="AX13" s="130"/>
      <c r="AY13" s="130"/>
      <c r="AZ13" s="130"/>
      <c r="BA13" s="130"/>
      <c r="BB13" s="130"/>
      <c r="BC13" s="130"/>
      <c r="BD13" s="130"/>
      <c r="BE13" s="130"/>
      <c r="BF13" s="130"/>
    </row>
    <row r="14" spans="1:58" s="140" customFormat="1" ht="76.5" x14ac:dyDescent="0.2">
      <c r="A14" s="171" t="s">
        <v>1416</v>
      </c>
      <c r="B14" s="171" t="s">
        <v>652</v>
      </c>
      <c r="C14" s="171" t="s">
        <v>507</v>
      </c>
      <c r="D14" s="172" t="s">
        <v>909</v>
      </c>
      <c r="E14" s="171" t="s">
        <v>366</v>
      </c>
      <c r="F14" s="172" t="s">
        <v>918</v>
      </c>
      <c r="G14" s="172"/>
      <c r="H14" s="172"/>
      <c r="I14" s="172" t="s">
        <v>626</v>
      </c>
      <c r="J14" s="172" t="s">
        <v>670</v>
      </c>
      <c r="K14" s="172" t="s">
        <v>637</v>
      </c>
      <c r="L14" s="171" t="s">
        <v>679</v>
      </c>
      <c r="M14" s="172" t="s">
        <v>56</v>
      </c>
      <c r="N14" s="172" t="s">
        <v>673</v>
      </c>
      <c r="O14" s="172" t="s">
        <v>342</v>
      </c>
      <c r="P14" s="173">
        <v>44278</v>
      </c>
      <c r="Q14" s="171" t="s">
        <v>637</v>
      </c>
      <c r="R14" s="171" t="s">
        <v>637</v>
      </c>
      <c r="S14" s="172"/>
      <c r="T14" s="171" t="s">
        <v>1206</v>
      </c>
      <c r="U14" s="171" t="s">
        <v>1208</v>
      </c>
      <c r="V14" s="171" t="s">
        <v>988</v>
      </c>
      <c r="W14" s="171"/>
      <c r="X14" s="171" t="s">
        <v>1383</v>
      </c>
      <c r="Y14" s="171" t="s">
        <v>1168</v>
      </c>
      <c r="Z14" s="174" t="s">
        <v>1389</v>
      </c>
      <c r="AA14" s="175"/>
      <c r="AB14" s="175" t="s">
        <v>1406</v>
      </c>
      <c r="AC14" s="171" t="s">
        <v>988</v>
      </c>
      <c r="AD14" s="174" t="s">
        <v>1423</v>
      </c>
      <c r="AE14" s="174" t="s">
        <v>679</v>
      </c>
      <c r="AF14" s="174" t="s">
        <v>1479</v>
      </c>
      <c r="AG14" s="174"/>
      <c r="AH14" s="174"/>
      <c r="AI14" s="176" t="s">
        <v>963</v>
      </c>
      <c r="AJ14" s="177" t="s">
        <v>1406</v>
      </c>
      <c r="AK14" s="177" t="s">
        <v>679</v>
      </c>
      <c r="AL14" s="177"/>
      <c r="AM14" s="177"/>
      <c r="AN14" s="177" t="s">
        <v>963</v>
      </c>
      <c r="AO14" s="174" t="str">
        <f t="shared" si="0"/>
        <v>wfm_dm_v1</v>
      </c>
      <c r="AP14" s="174" t="str">
        <f t="shared" si="0"/>
        <v>dim</v>
      </c>
      <c r="AQ14" s="174" t="str">
        <f t="shared" si="0"/>
        <v>dWorkCostCenter / dHomeCostCenter</v>
      </c>
      <c r="AR14" s="174" t="str">
        <f>AC14</f>
        <v>activeToDate</v>
      </c>
      <c r="AS14" s="174" t="str">
        <f>AD14</f>
        <v>Ansvar/Hemansvar</v>
      </c>
      <c r="AT14" s="174" t="e">
        <f>#REF!</f>
        <v>#REF!</v>
      </c>
      <c r="AU14" s="174">
        <f t="shared" si="2"/>
        <v>0</v>
      </c>
      <c r="AV14" s="174">
        <f t="shared" si="2"/>
        <v>0</v>
      </c>
      <c r="AW14" s="176" t="str">
        <f t="shared" si="2"/>
        <v/>
      </c>
      <c r="AX14" s="130"/>
      <c r="AY14" s="130"/>
      <c r="AZ14" s="130"/>
      <c r="BA14" s="130"/>
      <c r="BB14" s="130"/>
      <c r="BC14" s="130"/>
      <c r="BD14" s="130"/>
      <c r="BE14" s="130"/>
      <c r="BF14" s="130"/>
    </row>
    <row r="15" spans="1:58" s="140" customFormat="1" ht="51" x14ac:dyDescent="0.2">
      <c r="A15" s="171" t="s">
        <v>1416</v>
      </c>
      <c r="B15" s="171" t="s">
        <v>652</v>
      </c>
      <c r="C15" s="171" t="s">
        <v>507</v>
      </c>
      <c r="D15" s="172" t="s">
        <v>909</v>
      </c>
      <c r="E15" s="171" t="s">
        <v>359</v>
      </c>
      <c r="F15" s="172" t="s">
        <v>919</v>
      </c>
      <c r="G15" s="172"/>
      <c r="H15" s="172"/>
      <c r="I15" s="172" t="s">
        <v>626</v>
      </c>
      <c r="J15" s="172" t="s">
        <v>670</v>
      </c>
      <c r="K15" s="172" t="s">
        <v>638</v>
      </c>
      <c r="L15" s="171" t="s">
        <v>639</v>
      </c>
      <c r="M15" s="172"/>
      <c r="N15" s="172"/>
      <c r="O15" s="172" t="s">
        <v>342</v>
      </c>
      <c r="P15" s="173">
        <v>44278</v>
      </c>
      <c r="Q15" s="171" t="s">
        <v>638</v>
      </c>
      <c r="R15" s="171" t="s">
        <v>638</v>
      </c>
      <c r="S15" s="172" t="s">
        <v>36</v>
      </c>
      <c r="T15" s="171" t="s">
        <v>1206</v>
      </c>
      <c r="U15" s="171" t="s">
        <v>1208</v>
      </c>
      <c r="V15" s="171" t="s">
        <v>638</v>
      </c>
      <c r="W15" s="171"/>
      <c r="X15" s="171" t="s">
        <v>1383</v>
      </c>
      <c r="Y15" s="171" t="s">
        <v>1168</v>
      </c>
      <c r="Z15" s="174" t="s">
        <v>1389</v>
      </c>
      <c r="AA15" s="175"/>
      <c r="AB15" s="175" t="s">
        <v>1406</v>
      </c>
      <c r="AC15" s="171" t="s">
        <v>638</v>
      </c>
      <c r="AD15" s="174" t="s">
        <v>1423</v>
      </c>
      <c r="AE15" s="174" t="s">
        <v>1487</v>
      </c>
      <c r="AF15" s="174" t="s">
        <v>1479</v>
      </c>
      <c r="AG15" s="174"/>
      <c r="AH15" s="174"/>
      <c r="AI15" s="176" t="s">
        <v>963</v>
      </c>
      <c r="AJ15" s="177"/>
      <c r="AK15" s="177"/>
      <c r="AL15" s="177"/>
      <c r="AM15" s="177"/>
      <c r="AN15" s="177" t="s">
        <v>963</v>
      </c>
      <c r="AO15" s="174"/>
      <c r="AP15" s="174"/>
      <c r="AQ15" s="174"/>
      <c r="AR15" s="174"/>
      <c r="AS15" s="174"/>
      <c r="AT15" s="174"/>
      <c r="AU15" s="174"/>
      <c r="AV15" s="174"/>
      <c r="AW15" s="176"/>
    </row>
    <row r="16" spans="1:58" s="140" customFormat="1" x14ac:dyDescent="0.2">
      <c r="A16" s="171" t="s">
        <v>1416</v>
      </c>
      <c r="B16" s="171" t="s">
        <v>652</v>
      </c>
      <c r="C16" s="171" t="s">
        <v>507</v>
      </c>
      <c r="D16" s="172" t="s">
        <v>909</v>
      </c>
      <c r="E16" s="171" t="s">
        <v>360</v>
      </c>
      <c r="F16" s="172" t="s">
        <v>912</v>
      </c>
      <c r="G16" s="172"/>
      <c r="H16" s="172"/>
      <c r="I16" s="172" t="s">
        <v>626</v>
      </c>
      <c r="J16" s="172" t="s">
        <v>670</v>
      </c>
      <c r="K16" s="172" t="s">
        <v>640</v>
      </c>
      <c r="L16" s="171" t="s">
        <v>639</v>
      </c>
      <c r="M16" s="172"/>
      <c r="N16" s="172"/>
      <c r="O16" s="172" t="s">
        <v>342</v>
      </c>
      <c r="P16" s="173">
        <v>44278</v>
      </c>
      <c r="Q16" s="171" t="s">
        <v>640</v>
      </c>
      <c r="R16" s="171" t="s">
        <v>640</v>
      </c>
      <c r="S16" s="172"/>
      <c r="T16" s="171" t="s">
        <v>1206</v>
      </c>
      <c r="U16" s="171" t="s">
        <v>1208</v>
      </c>
      <c r="V16" s="171" t="s">
        <v>1034</v>
      </c>
      <c r="W16" s="171"/>
      <c r="X16" s="171" t="s">
        <v>1383</v>
      </c>
      <c r="Y16" s="171" t="s">
        <v>1168</v>
      </c>
      <c r="Z16" s="174" t="s">
        <v>1389</v>
      </c>
      <c r="AA16" s="175"/>
      <c r="AB16" s="175" t="s">
        <v>1406</v>
      </c>
      <c r="AC16" s="171" t="s">
        <v>1034</v>
      </c>
      <c r="AD16" s="174" t="s">
        <v>1423</v>
      </c>
      <c r="AE16" s="174" t="s">
        <v>699</v>
      </c>
      <c r="AF16" s="174" t="s">
        <v>1479</v>
      </c>
      <c r="AG16" s="174"/>
      <c r="AH16" s="174"/>
      <c r="AI16" s="176" t="s">
        <v>1581</v>
      </c>
      <c r="AJ16" s="177" t="s">
        <v>1406</v>
      </c>
      <c r="AK16" s="177" t="s">
        <v>699</v>
      </c>
      <c r="AL16" s="177"/>
      <c r="AM16" s="177"/>
      <c r="AN16" s="177" t="s">
        <v>963</v>
      </c>
      <c r="AO16" s="174" t="str">
        <f>X16</f>
        <v>wfm_dm_v1</v>
      </c>
      <c r="AP16" s="174" t="str">
        <f>Y16</f>
        <v>dim</v>
      </c>
      <c r="AQ16" s="174" t="str">
        <f>Z16</f>
        <v>dWorkCostCenter / dHomeCostCenter</v>
      </c>
      <c r="AR16" s="174" t="str">
        <f>AC16</f>
        <v>municipalityName</v>
      </c>
      <c r="AS16" s="174" t="str">
        <f>AD16</f>
        <v>Ansvar/Hemansvar</v>
      </c>
      <c r="AT16" s="174" t="e">
        <f>#REF!</f>
        <v>#REF!</v>
      </c>
      <c r="AU16" s="174">
        <f>AG16</f>
        <v>0</v>
      </c>
      <c r="AV16" s="174">
        <f>AH16</f>
        <v>0</v>
      </c>
      <c r="AW16" s="176" t="str">
        <f>AI16</f>
        <v xml:space="preserve">Ort i planeringsrapporterna. I IFS heter detta kommun. </v>
      </c>
      <c r="AX16" s="151" t="s">
        <v>1632</v>
      </c>
      <c r="AY16" s="151" t="s">
        <v>1168</v>
      </c>
      <c r="AZ16" s="151" t="s">
        <v>1144</v>
      </c>
      <c r="BA16" s="151" t="s">
        <v>1112</v>
      </c>
      <c r="BB16" s="151" t="s">
        <v>248</v>
      </c>
      <c r="BC16" s="129" t="s">
        <v>699</v>
      </c>
    </row>
    <row r="17" spans="1:58" s="140" customFormat="1" x14ac:dyDescent="0.2">
      <c r="A17" s="171" t="s">
        <v>1416</v>
      </c>
      <c r="B17" s="171" t="s">
        <v>652</v>
      </c>
      <c r="C17" s="171" t="s">
        <v>507</v>
      </c>
      <c r="D17" s="172" t="s">
        <v>909</v>
      </c>
      <c r="E17" s="171" t="s">
        <v>361</v>
      </c>
      <c r="F17" s="172" t="s">
        <v>912</v>
      </c>
      <c r="G17" s="172"/>
      <c r="H17" s="172"/>
      <c r="I17" s="172" t="s">
        <v>626</v>
      </c>
      <c r="J17" s="172" t="s">
        <v>670</v>
      </c>
      <c r="K17" s="172" t="s">
        <v>641</v>
      </c>
      <c r="L17" s="171" t="s">
        <v>361</v>
      </c>
      <c r="M17" s="172"/>
      <c r="N17" s="172"/>
      <c r="O17" s="172" t="s">
        <v>342</v>
      </c>
      <c r="P17" s="173">
        <v>44278</v>
      </c>
      <c r="Q17" s="171" t="s">
        <v>641</v>
      </c>
      <c r="R17" s="171" t="s">
        <v>641</v>
      </c>
      <c r="S17" s="172" t="s">
        <v>36</v>
      </c>
      <c r="T17" s="171" t="s">
        <v>1206</v>
      </c>
      <c r="U17" s="171" t="s">
        <v>1208</v>
      </c>
      <c r="V17" s="171" t="s">
        <v>641</v>
      </c>
      <c r="W17" s="171"/>
      <c r="X17" s="171" t="s">
        <v>1383</v>
      </c>
      <c r="Y17" s="171" t="s">
        <v>1168</v>
      </c>
      <c r="Z17" s="174" t="s">
        <v>1389</v>
      </c>
      <c r="AA17" s="175"/>
      <c r="AB17" s="175" t="s">
        <v>1406</v>
      </c>
      <c r="AC17" s="171" t="s">
        <v>641</v>
      </c>
      <c r="AD17" s="174" t="s">
        <v>1423</v>
      </c>
      <c r="AE17" s="174" t="s">
        <v>1484</v>
      </c>
      <c r="AF17" s="174" t="s">
        <v>1479</v>
      </c>
      <c r="AG17" s="174"/>
      <c r="AH17" s="174"/>
      <c r="AI17" s="176" t="s">
        <v>963</v>
      </c>
      <c r="AJ17" s="177"/>
      <c r="AK17" s="177"/>
      <c r="AL17" s="177"/>
      <c r="AM17" s="177"/>
      <c r="AN17" s="177" t="s">
        <v>963</v>
      </c>
      <c r="AO17" s="174"/>
      <c r="AP17" s="174"/>
      <c r="AQ17" s="174"/>
      <c r="AR17" s="174"/>
      <c r="AS17" s="174"/>
      <c r="AT17" s="174"/>
      <c r="AU17" s="174"/>
      <c r="AV17" s="174"/>
      <c r="AW17" s="176"/>
    </row>
    <row r="18" spans="1:58" x14ac:dyDescent="0.2">
      <c r="A18" s="171" t="s">
        <v>1416</v>
      </c>
      <c r="B18" s="171" t="s">
        <v>652</v>
      </c>
      <c r="C18" s="171" t="s">
        <v>507</v>
      </c>
      <c r="D18" s="172" t="s">
        <v>909</v>
      </c>
      <c r="E18" s="171" t="s">
        <v>362</v>
      </c>
      <c r="F18" s="172" t="s">
        <v>912</v>
      </c>
      <c r="G18" s="172"/>
      <c r="H18" s="172"/>
      <c r="I18" s="172" t="s">
        <v>626</v>
      </c>
      <c r="J18" s="172" t="s">
        <v>670</v>
      </c>
      <c r="K18" s="172" t="s">
        <v>642</v>
      </c>
      <c r="L18" s="171" t="s">
        <v>361</v>
      </c>
      <c r="M18" s="172"/>
      <c r="N18" s="172"/>
      <c r="O18" s="172" t="s">
        <v>342</v>
      </c>
      <c r="P18" s="173">
        <v>44278</v>
      </c>
      <c r="Q18" s="171" t="s">
        <v>642</v>
      </c>
      <c r="R18" s="171" t="s">
        <v>642</v>
      </c>
      <c r="S18" s="172"/>
      <c r="T18" s="171" t="s">
        <v>1206</v>
      </c>
      <c r="U18" s="171" t="s">
        <v>1208</v>
      </c>
      <c r="V18" s="171" t="s">
        <v>1035</v>
      </c>
      <c r="W18" s="171"/>
      <c r="X18" s="171" t="s">
        <v>1383</v>
      </c>
      <c r="Y18" s="171" t="s">
        <v>1168</v>
      </c>
      <c r="Z18" s="174" t="s">
        <v>1389</v>
      </c>
      <c r="AA18" s="175"/>
      <c r="AB18" s="175" t="s">
        <v>1406</v>
      </c>
      <c r="AC18" s="171" t="s">
        <v>1035</v>
      </c>
      <c r="AD18" s="174" t="s">
        <v>1423</v>
      </c>
      <c r="AE18" s="174" t="s">
        <v>361</v>
      </c>
      <c r="AF18" s="174" t="s">
        <v>1479</v>
      </c>
      <c r="AG18" s="174"/>
      <c r="AH18" s="174"/>
      <c r="AI18" s="176" t="s">
        <v>963</v>
      </c>
      <c r="AJ18" s="177"/>
      <c r="AK18" s="177"/>
      <c r="AL18" s="177"/>
      <c r="AM18" s="177"/>
      <c r="AN18" s="177" t="s">
        <v>963</v>
      </c>
      <c r="AO18" s="174"/>
      <c r="AP18" s="174"/>
      <c r="AQ18" s="174"/>
      <c r="AR18" s="174"/>
      <c r="AS18" s="174"/>
      <c r="AT18" s="174"/>
      <c r="AU18" s="174"/>
      <c r="AV18" s="174"/>
      <c r="AW18" s="176"/>
      <c r="AX18" s="140"/>
      <c r="AY18" s="140"/>
      <c r="AZ18" s="140"/>
      <c r="BA18" s="140"/>
      <c r="BB18" s="140"/>
      <c r="BC18" s="140"/>
      <c r="BD18" s="140"/>
      <c r="BE18" s="140"/>
      <c r="BF18" s="140"/>
    </row>
    <row r="19" spans="1:58" ht="51" x14ac:dyDescent="0.2">
      <c r="A19" s="171" t="s">
        <v>1416</v>
      </c>
      <c r="B19" s="171" t="s">
        <v>652</v>
      </c>
      <c r="C19" s="171" t="s">
        <v>507</v>
      </c>
      <c r="D19" s="172" t="s">
        <v>909</v>
      </c>
      <c r="E19" s="171" t="s">
        <v>353</v>
      </c>
      <c r="F19" s="172" t="s">
        <v>916</v>
      </c>
      <c r="G19" s="172"/>
      <c r="H19" s="172"/>
      <c r="I19" s="172" t="s">
        <v>626</v>
      </c>
      <c r="J19" s="172" t="s">
        <v>670</v>
      </c>
      <c r="K19" s="172" t="s">
        <v>643</v>
      </c>
      <c r="L19" s="171" t="s">
        <v>353</v>
      </c>
      <c r="M19" s="172"/>
      <c r="N19" s="172"/>
      <c r="O19" s="172" t="s">
        <v>342</v>
      </c>
      <c r="P19" s="173">
        <v>44278</v>
      </c>
      <c r="Q19" s="171" t="s">
        <v>643</v>
      </c>
      <c r="R19" s="171" t="s">
        <v>643</v>
      </c>
      <c r="S19" s="172" t="s">
        <v>36</v>
      </c>
      <c r="T19" s="171" t="s">
        <v>1206</v>
      </c>
      <c r="U19" s="171" t="s">
        <v>1208</v>
      </c>
      <c r="V19" s="171" t="s">
        <v>643</v>
      </c>
      <c r="W19" s="171"/>
      <c r="X19" s="171" t="s">
        <v>1383</v>
      </c>
      <c r="Y19" s="171" t="s">
        <v>1168</v>
      </c>
      <c r="Z19" s="174" t="s">
        <v>1389</v>
      </c>
      <c r="AA19" s="175"/>
      <c r="AB19" s="175" t="s">
        <v>1406</v>
      </c>
      <c r="AC19" s="171" t="s">
        <v>643</v>
      </c>
      <c r="AD19" s="174" t="s">
        <v>1423</v>
      </c>
      <c r="AE19" s="174" t="s">
        <v>1486</v>
      </c>
      <c r="AF19" s="174" t="s">
        <v>1479</v>
      </c>
      <c r="AG19" s="174"/>
      <c r="AH19" s="174"/>
      <c r="AI19" s="176" t="s">
        <v>963</v>
      </c>
      <c r="AJ19" s="177"/>
      <c r="AK19" s="177"/>
      <c r="AL19" s="177"/>
      <c r="AM19" s="177"/>
      <c r="AN19" s="177" t="s">
        <v>963</v>
      </c>
      <c r="AO19" s="174"/>
      <c r="AP19" s="174"/>
      <c r="AQ19" s="174"/>
      <c r="AR19" s="174"/>
      <c r="AS19" s="174"/>
      <c r="AT19" s="174"/>
      <c r="AU19" s="174"/>
      <c r="AV19" s="174"/>
      <c r="AW19" s="176"/>
      <c r="AX19" s="140"/>
      <c r="AY19" s="140"/>
      <c r="AZ19" s="140"/>
      <c r="BA19" s="140"/>
      <c r="BB19" s="140"/>
      <c r="BC19" s="140"/>
      <c r="BD19" s="140"/>
      <c r="BE19" s="140"/>
      <c r="BF19" s="140"/>
    </row>
    <row r="20" spans="1:58" x14ac:dyDescent="0.2">
      <c r="A20" s="171" t="s">
        <v>1416</v>
      </c>
      <c r="B20" s="171" t="s">
        <v>652</v>
      </c>
      <c r="C20" s="171" t="s">
        <v>507</v>
      </c>
      <c r="D20" s="172" t="s">
        <v>909</v>
      </c>
      <c r="E20" s="171" t="s">
        <v>354</v>
      </c>
      <c r="F20" s="172" t="s">
        <v>912</v>
      </c>
      <c r="G20" s="172"/>
      <c r="H20" s="172"/>
      <c r="I20" s="172" t="s">
        <v>626</v>
      </c>
      <c r="J20" s="172" t="s">
        <v>670</v>
      </c>
      <c r="K20" s="172" t="s">
        <v>644</v>
      </c>
      <c r="L20" s="171" t="s">
        <v>353</v>
      </c>
      <c r="M20" s="172"/>
      <c r="N20" s="172"/>
      <c r="O20" s="172" t="s">
        <v>342</v>
      </c>
      <c r="P20" s="173">
        <v>44278</v>
      </c>
      <c r="Q20" s="171" t="s">
        <v>644</v>
      </c>
      <c r="R20" s="171" t="s">
        <v>644</v>
      </c>
      <c r="S20" s="172"/>
      <c r="T20" s="171" t="s">
        <v>1206</v>
      </c>
      <c r="U20" s="171" t="s">
        <v>1208</v>
      </c>
      <c r="V20" s="171" t="s">
        <v>1031</v>
      </c>
      <c r="W20" s="171"/>
      <c r="X20" s="171" t="s">
        <v>1383</v>
      </c>
      <c r="Y20" s="171" t="s">
        <v>1168</v>
      </c>
      <c r="Z20" s="174" t="s">
        <v>1389</v>
      </c>
      <c r="AA20" s="175"/>
      <c r="AB20" s="175" t="s">
        <v>1406</v>
      </c>
      <c r="AC20" s="171" t="s">
        <v>1031</v>
      </c>
      <c r="AD20" s="174" t="s">
        <v>1423</v>
      </c>
      <c r="AE20" s="174" t="s">
        <v>353</v>
      </c>
      <c r="AF20" s="174" t="s">
        <v>1479</v>
      </c>
      <c r="AG20" s="174"/>
      <c r="AH20" s="174"/>
      <c r="AI20" s="176" t="s">
        <v>963</v>
      </c>
      <c r="AJ20" s="177" t="s">
        <v>1406</v>
      </c>
      <c r="AK20" s="177" t="s">
        <v>353</v>
      </c>
      <c r="AL20" s="177" t="str">
        <f>VLOOKUP(AC20,'Report fields to name'!D:G,4,FALSE)</f>
        <v>MO</v>
      </c>
      <c r="AM20" s="177"/>
      <c r="AN20" s="177" t="s">
        <v>963</v>
      </c>
      <c r="AO20" s="174" t="str">
        <f>X20</f>
        <v>wfm_dm_v1</v>
      </c>
      <c r="AP20" s="174" t="str">
        <f>Y20</f>
        <v>dim</v>
      </c>
      <c r="AQ20" s="174" t="str">
        <f>Z20</f>
        <v>dWorkCostCenter / dHomeCostCenter</v>
      </c>
      <c r="AR20" s="174" t="str">
        <f>AC20</f>
        <v>marketAreaName</v>
      </c>
      <c r="AS20" s="174" t="str">
        <f>AD20</f>
        <v>Ansvar/Hemansvar</v>
      </c>
      <c r="AT20" s="174" t="str">
        <f>AE20</f>
        <v>MO</v>
      </c>
      <c r="AU20" s="174">
        <f>AG20</f>
        <v>0</v>
      </c>
      <c r="AV20" s="174">
        <f>AH20</f>
        <v>0</v>
      </c>
      <c r="AW20" s="176" t="str">
        <f>AI20</f>
        <v/>
      </c>
      <c r="AX20" s="151" t="s">
        <v>1632</v>
      </c>
      <c r="AY20" s="151" t="s">
        <v>1168</v>
      </c>
      <c r="AZ20" s="151" t="s">
        <v>1144</v>
      </c>
      <c r="BA20" s="151" t="s">
        <v>1031</v>
      </c>
      <c r="BB20" s="151" t="s">
        <v>248</v>
      </c>
      <c r="BC20" s="129" t="s">
        <v>353</v>
      </c>
      <c r="BD20" s="140"/>
      <c r="BE20" s="140"/>
      <c r="BF20" s="140"/>
    </row>
    <row r="21" spans="1:58" ht="76.5" x14ac:dyDescent="0.2">
      <c r="A21" s="171" t="s">
        <v>1416</v>
      </c>
      <c r="B21" s="171" t="s">
        <v>652</v>
      </c>
      <c r="C21" s="171" t="s">
        <v>507</v>
      </c>
      <c r="D21" s="172" t="s">
        <v>909</v>
      </c>
      <c r="E21" s="171" t="s">
        <v>676</v>
      </c>
      <c r="F21" s="172" t="s">
        <v>920</v>
      </c>
      <c r="G21" s="171"/>
      <c r="H21" s="171" t="s">
        <v>677</v>
      </c>
      <c r="I21" s="172" t="s">
        <v>626</v>
      </c>
      <c r="J21" s="172" t="s">
        <v>670</v>
      </c>
      <c r="K21" s="172" t="s">
        <v>46</v>
      </c>
      <c r="L21" s="172" t="s">
        <v>699</v>
      </c>
      <c r="M21" s="172"/>
      <c r="N21" s="172" t="s">
        <v>701</v>
      </c>
      <c r="O21" s="172" t="s">
        <v>342</v>
      </c>
      <c r="P21" s="173">
        <v>44278</v>
      </c>
      <c r="Q21" s="171" t="s">
        <v>46</v>
      </c>
      <c r="R21" s="171" t="s">
        <v>46</v>
      </c>
      <c r="S21" s="171"/>
      <c r="T21" s="171" t="s">
        <v>1206</v>
      </c>
      <c r="U21" s="171" t="s">
        <v>1208</v>
      </c>
      <c r="V21" s="171" t="s">
        <v>1037</v>
      </c>
      <c r="W21" s="171"/>
      <c r="X21" s="171" t="s">
        <v>1383</v>
      </c>
      <c r="Y21" s="171" t="s">
        <v>1168</v>
      </c>
      <c r="Z21" s="174" t="s">
        <v>1389</v>
      </c>
      <c r="AA21" s="175"/>
      <c r="AB21" s="175" t="s">
        <v>1406</v>
      </c>
      <c r="AC21" s="171" t="s">
        <v>1037</v>
      </c>
      <c r="AD21" s="174" t="s">
        <v>1423</v>
      </c>
      <c r="AE21" s="174"/>
      <c r="AF21" s="174" t="s">
        <v>1549</v>
      </c>
      <c r="AG21" s="174"/>
      <c r="AH21" s="174"/>
      <c r="AI21" s="174"/>
      <c r="AJ21" s="177"/>
      <c r="AK21" s="177"/>
      <c r="AL21" s="177"/>
      <c r="AM21" s="177"/>
      <c r="AN21" s="177" t="s">
        <v>963</v>
      </c>
      <c r="AO21" s="174"/>
      <c r="AP21" s="174"/>
      <c r="AQ21" s="174"/>
      <c r="AR21" s="174"/>
      <c r="AS21" s="174"/>
      <c r="AT21" s="174"/>
      <c r="AU21" s="174"/>
      <c r="AV21" s="174"/>
      <c r="AW21" s="176"/>
      <c r="AX21" s="140"/>
      <c r="AY21" s="140"/>
      <c r="AZ21" s="140"/>
      <c r="BA21" s="140"/>
      <c r="BB21" s="140"/>
      <c r="BC21" s="140"/>
      <c r="BD21" s="140"/>
      <c r="BE21" s="140"/>
      <c r="BF21" s="140"/>
    </row>
    <row r="22" spans="1:58" ht="76.5" x14ac:dyDescent="0.2">
      <c r="A22" s="171" t="s">
        <v>1416</v>
      </c>
      <c r="B22" s="171" t="s">
        <v>652</v>
      </c>
      <c r="C22" s="171" t="s">
        <v>507</v>
      </c>
      <c r="D22" s="172" t="s">
        <v>909</v>
      </c>
      <c r="E22" s="171" t="s">
        <v>675</v>
      </c>
      <c r="F22" s="172" t="s">
        <v>912</v>
      </c>
      <c r="G22" s="171"/>
      <c r="H22" s="171" t="s">
        <v>677</v>
      </c>
      <c r="I22" s="172" t="s">
        <v>626</v>
      </c>
      <c r="J22" s="172" t="s">
        <v>670</v>
      </c>
      <c r="K22" s="172" t="s">
        <v>697</v>
      </c>
      <c r="L22" s="172" t="s">
        <v>698</v>
      </c>
      <c r="M22" s="172"/>
      <c r="N22" s="172" t="s">
        <v>700</v>
      </c>
      <c r="O22" s="172" t="s">
        <v>342</v>
      </c>
      <c r="P22" s="173">
        <v>44278</v>
      </c>
      <c r="Q22" s="171" t="s">
        <v>697</v>
      </c>
      <c r="R22" s="171" t="s">
        <v>697</v>
      </c>
      <c r="S22" s="172" t="s">
        <v>36</v>
      </c>
      <c r="T22" s="171" t="s">
        <v>1206</v>
      </c>
      <c r="U22" s="171" t="s">
        <v>1208</v>
      </c>
      <c r="V22" s="171" t="s">
        <v>46</v>
      </c>
      <c r="W22" s="171"/>
      <c r="X22" s="171" t="s">
        <v>1383</v>
      </c>
      <c r="Y22" s="171" t="s">
        <v>1168</v>
      </c>
      <c r="Z22" s="174" t="s">
        <v>1389</v>
      </c>
      <c r="AA22" s="175"/>
      <c r="AB22" s="175" t="s">
        <v>1406</v>
      </c>
      <c r="AC22" s="171" t="s">
        <v>46</v>
      </c>
      <c r="AD22" s="174" t="s">
        <v>1423</v>
      </c>
      <c r="AE22" s="174" t="s">
        <v>1481</v>
      </c>
      <c r="AF22" s="174" t="s">
        <v>1479</v>
      </c>
      <c r="AG22" s="174"/>
      <c r="AH22" s="174"/>
      <c r="AI22" s="176" t="s">
        <v>1482</v>
      </c>
      <c r="AJ22" s="177"/>
      <c r="AK22" s="177"/>
      <c r="AL22" s="177"/>
      <c r="AM22" s="177"/>
      <c r="AN22" s="177" t="s">
        <v>963</v>
      </c>
      <c r="AO22" s="174"/>
      <c r="AP22" s="174"/>
      <c r="AQ22" s="174"/>
      <c r="AR22" s="174"/>
      <c r="AS22" s="174"/>
      <c r="AT22" s="174"/>
      <c r="AU22" s="174"/>
      <c r="AV22" s="174"/>
      <c r="AW22" s="176"/>
      <c r="AX22" s="140"/>
      <c r="AY22" s="140"/>
      <c r="AZ22" s="140"/>
      <c r="BA22" s="140"/>
      <c r="BB22" s="140"/>
      <c r="BC22" s="140"/>
      <c r="BD22" s="140"/>
      <c r="BE22" s="140"/>
      <c r="BF22" s="140"/>
    </row>
    <row r="23" spans="1:58" ht="127.5" x14ac:dyDescent="0.2">
      <c r="A23" s="171" t="s">
        <v>1416</v>
      </c>
      <c r="B23" s="171" t="s">
        <v>652</v>
      </c>
      <c r="C23" s="171" t="s">
        <v>507</v>
      </c>
      <c r="D23" s="172" t="s">
        <v>909</v>
      </c>
      <c r="E23" s="171" t="s">
        <v>653</v>
      </c>
      <c r="F23" s="172" t="s">
        <v>921</v>
      </c>
      <c r="G23" s="171" t="s">
        <v>130</v>
      </c>
      <c r="H23" s="171" t="s">
        <v>654</v>
      </c>
      <c r="I23" s="172" t="s">
        <v>626</v>
      </c>
      <c r="J23" s="172" t="s">
        <v>670</v>
      </c>
      <c r="K23" s="172" t="s">
        <v>656</v>
      </c>
      <c r="L23" s="172" t="s">
        <v>657</v>
      </c>
      <c r="M23" s="172" t="s">
        <v>658</v>
      </c>
      <c r="N23" s="172" t="s">
        <v>932</v>
      </c>
      <c r="O23" s="172" t="s">
        <v>342</v>
      </c>
      <c r="P23" s="173">
        <v>44278</v>
      </c>
      <c r="Q23" s="171" t="s">
        <v>656</v>
      </c>
      <c r="R23" s="171" t="s">
        <v>656</v>
      </c>
      <c r="S23" s="171"/>
      <c r="T23" s="171" t="s">
        <v>1206</v>
      </c>
      <c r="U23" s="171" t="s">
        <v>1208</v>
      </c>
      <c r="V23" s="171" t="s">
        <v>656</v>
      </c>
      <c r="W23" s="171"/>
      <c r="X23" s="171" t="s">
        <v>1383</v>
      </c>
      <c r="Y23" s="171" t="s">
        <v>1168</v>
      </c>
      <c r="Z23" s="174" t="s">
        <v>1389</v>
      </c>
      <c r="AA23" s="175"/>
      <c r="AB23" s="175" t="s">
        <v>1406</v>
      </c>
      <c r="AC23" s="171" t="s">
        <v>656</v>
      </c>
      <c r="AD23" s="174" t="s">
        <v>1423</v>
      </c>
      <c r="AE23" s="174" t="s">
        <v>1521</v>
      </c>
      <c r="AF23" s="174" t="s">
        <v>1479</v>
      </c>
      <c r="AG23" s="174"/>
      <c r="AH23" s="174"/>
      <c r="AI23" s="176" t="s">
        <v>1582</v>
      </c>
      <c r="AJ23" s="177" t="s">
        <v>1406</v>
      </c>
      <c r="AK23" s="177" t="s">
        <v>657</v>
      </c>
      <c r="AL23" s="177"/>
      <c r="AM23" s="177"/>
      <c r="AN23" s="177" t="s">
        <v>963</v>
      </c>
      <c r="AO23" s="174" t="str">
        <f t="shared" ref="AO23:AQ24" si="3">X23</f>
        <v>wfm_dm_v1</v>
      </c>
      <c r="AP23" s="174" t="str">
        <f t="shared" si="3"/>
        <v>dim</v>
      </c>
      <c r="AQ23" s="174" t="str">
        <f t="shared" si="3"/>
        <v>dWorkCostCenter / dHomeCostCenter</v>
      </c>
      <c r="AR23" s="174" t="str">
        <f>AC23</f>
        <v>isPersonnelCostCenter</v>
      </c>
      <c r="AS23" s="174" t="str">
        <f>AD23</f>
        <v>Ansvar/Hemansvar</v>
      </c>
      <c r="AT23" s="174" t="e">
        <f>#REF!</f>
        <v>#REF!</v>
      </c>
      <c r="AU23" s="174">
        <f t="shared" ref="AU23:AW24" si="4">AG23</f>
        <v>0</v>
      </c>
      <c r="AV23" s="174">
        <f t="shared" si="4"/>
        <v>0</v>
      </c>
      <c r="AW23" s="176" t="str">
        <f t="shared" si="4"/>
        <v>Har personalansvar i SF</v>
      </c>
    </row>
    <row r="24" spans="1:58" ht="25.5" x14ac:dyDescent="0.2">
      <c r="A24" s="174"/>
      <c r="B24" s="174"/>
      <c r="C24" s="174"/>
      <c r="D24" s="174"/>
      <c r="E24" s="174"/>
      <c r="F24" s="174"/>
      <c r="G24" s="174"/>
      <c r="H24" s="174"/>
      <c r="I24" s="174"/>
      <c r="J24" s="174"/>
      <c r="K24" s="174"/>
      <c r="L24" s="174"/>
      <c r="M24" s="174"/>
      <c r="N24" s="174"/>
      <c r="O24" s="174"/>
      <c r="P24" s="174"/>
      <c r="Q24" s="174"/>
      <c r="R24" s="174"/>
      <c r="S24" s="174"/>
      <c r="T24" s="171" t="s">
        <v>1206</v>
      </c>
      <c r="U24" s="171" t="s">
        <v>1208</v>
      </c>
      <c r="V24" s="171" t="s">
        <v>1030</v>
      </c>
      <c r="W24" s="183" t="s">
        <v>1228</v>
      </c>
      <c r="X24" s="171" t="s">
        <v>1383</v>
      </c>
      <c r="Y24" s="174" t="s">
        <v>1168</v>
      </c>
      <c r="Z24" s="174" t="s">
        <v>1389</v>
      </c>
      <c r="AA24" s="205" t="str">
        <f>AC24</f>
        <v>costCenterCodeName</v>
      </c>
      <c r="AB24" s="205"/>
      <c r="AC24" s="171" t="s">
        <v>1030</v>
      </c>
      <c r="AD24" s="174" t="s">
        <v>1423</v>
      </c>
      <c r="AE24" s="174" t="s">
        <v>1423</v>
      </c>
      <c r="AF24" s="174" t="s">
        <v>1479</v>
      </c>
      <c r="AG24" s="174"/>
      <c r="AH24" s="174"/>
      <c r="AI24" s="183" t="s">
        <v>1585</v>
      </c>
      <c r="AJ24" s="198"/>
      <c r="AK24" s="198" t="s">
        <v>248</v>
      </c>
      <c r="AL24" s="177"/>
      <c r="AM24" s="198"/>
      <c r="AN24" s="198"/>
      <c r="AO24" s="174" t="str">
        <f t="shared" si="3"/>
        <v>wfm_dm_v1</v>
      </c>
      <c r="AP24" s="174" t="str">
        <f t="shared" si="3"/>
        <v>dim</v>
      </c>
      <c r="AQ24" s="174" t="str">
        <f t="shared" si="3"/>
        <v>dWorkCostCenter / dHomeCostCenter</v>
      </c>
      <c r="AR24" s="174" t="str">
        <f>AC24</f>
        <v>costCenterCodeName</v>
      </c>
      <c r="AS24" s="174" t="str">
        <f>AD24</f>
        <v>Ansvar/Hemansvar</v>
      </c>
      <c r="AT24" s="174" t="str">
        <f>AE24</f>
        <v>Ansvar/Hemansvar</v>
      </c>
      <c r="AU24" s="174">
        <f t="shared" si="4"/>
        <v>0</v>
      </c>
      <c r="AV24" s="174">
        <f t="shared" si="4"/>
        <v>0</v>
      </c>
      <c r="AW24" s="176" t="str">
        <f t="shared" si="4"/>
        <v>Ansvar är ansvaret där uppdraget planeras, Hemansvar ansvar du hör till som anställd.</v>
      </c>
      <c r="AX24" s="151" t="s">
        <v>1632</v>
      </c>
      <c r="AY24" s="151" t="s">
        <v>1168</v>
      </c>
      <c r="AZ24" s="151" t="s">
        <v>1144</v>
      </c>
      <c r="BA24" s="151" t="s">
        <v>1030</v>
      </c>
      <c r="BB24" s="151" t="s">
        <v>248</v>
      </c>
      <c r="BC24" s="129" t="s">
        <v>248</v>
      </c>
      <c r="BD24" s="37"/>
      <c r="BE24" s="37"/>
      <c r="BF24" s="37"/>
    </row>
    <row r="25" spans="1:58" x14ac:dyDescent="0.2">
      <c r="A25" s="174"/>
      <c r="B25" s="174"/>
      <c r="C25" s="174"/>
      <c r="D25" s="174"/>
      <c r="E25" s="174"/>
      <c r="F25" s="174"/>
      <c r="G25" s="174"/>
      <c r="H25" s="174"/>
      <c r="I25" s="174"/>
      <c r="J25" s="174"/>
      <c r="K25" s="174"/>
      <c r="L25" s="174"/>
      <c r="M25" s="174"/>
      <c r="N25" s="174"/>
      <c r="O25" s="174"/>
      <c r="P25" s="174"/>
      <c r="Q25" s="174"/>
      <c r="R25" s="174"/>
      <c r="S25" s="174"/>
      <c r="T25" s="174"/>
      <c r="U25" s="174"/>
      <c r="V25" s="174"/>
      <c r="W25" s="174"/>
      <c r="X25" s="171" t="s">
        <v>1383</v>
      </c>
      <c r="Y25" s="174" t="s">
        <v>1544</v>
      </c>
      <c r="Z25" s="174" t="s">
        <v>1144</v>
      </c>
      <c r="AA25" s="205"/>
      <c r="AB25" s="205"/>
      <c r="AC25" s="174" t="s">
        <v>569</v>
      </c>
      <c r="AD25" s="174" t="s">
        <v>1423</v>
      </c>
      <c r="AE25" s="174" t="s">
        <v>569</v>
      </c>
      <c r="AF25" s="174" t="s">
        <v>1549</v>
      </c>
      <c r="AG25" s="183"/>
      <c r="AH25" s="174"/>
      <c r="AI25" s="186" t="s">
        <v>1477</v>
      </c>
      <c r="AJ25" s="205"/>
      <c r="AK25" s="205"/>
      <c r="AL25" s="205"/>
      <c r="AM25" s="205"/>
      <c r="AN25" s="205"/>
      <c r="AO25" s="174"/>
      <c r="AP25" s="174"/>
      <c r="AQ25" s="174"/>
      <c r="AR25" s="174"/>
      <c r="AS25" s="174"/>
      <c r="AT25" s="174"/>
      <c r="AU25" s="174"/>
      <c r="AV25" s="174"/>
      <c r="AW25" s="176"/>
      <c r="AX25" s="129" t="s">
        <v>1632</v>
      </c>
      <c r="AY25" s="129" t="s">
        <v>1168</v>
      </c>
      <c r="AZ25" s="129" t="s">
        <v>1144</v>
      </c>
      <c r="BA25" s="129" t="s">
        <v>669</v>
      </c>
      <c r="BB25" s="129" t="s">
        <v>248</v>
      </c>
      <c r="BC25" s="129" t="s">
        <v>668</v>
      </c>
      <c r="BD25" s="129"/>
      <c r="BE25" s="129"/>
      <c r="BF25" s="129"/>
    </row>
    <row r="26" spans="1:58" s="140" customFormat="1" x14ac:dyDescent="0.2">
      <c r="A26" s="174"/>
      <c r="B26" s="174"/>
      <c r="C26" s="174"/>
      <c r="D26" s="174"/>
      <c r="E26" s="174"/>
      <c r="F26" s="174"/>
      <c r="G26" s="174"/>
      <c r="H26" s="174"/>
      <c r="I26" s="174"/>
      <c r="J26" s="174"/>
      <c r="K26" s="174"/>
      <c r="L26" s="174"/>
      <c r="M26" s="174"/>
      <c r="N26" s="174"/>
      <c r="O26" s="174"/>
      <c r="P26" s="174"/>
      <c r="Q26" s="174"/>
      <c r="R26" s="174"/>
      <c r="S26" s="174"/>
      <c r="T26" s="174"/>
      <c r="U26" s="174"/>
      <c r="V26" s="174"/>
      <c r="W26" s="174"/>
      <c r="X26" s="174"/>
      <c r="Y26" s="174"/>
      <c r="Z26" s="174"/>
      <c r="AA26" s="205"/>
      <c r="AB26" s="205"/>
      <c r="AC26" s="174" t="s">
        <v>1028</v>
      </c>
      <c r="AD26" s="174" t="s">
        <v>1423</v>
      </c>
      <c r="AE26" s="174" t="s">
        <v>1483</v>
      </c>
      <c r="AF26" s="174" t="s">
        <v>1479</v>
      </c>
      <c r="AG26" s="183"/>
      <c r="AH26" s="174"/>
      <c r="AI26" s="176"/>
      <c r="AJ26" s="205"/>
      <c r="AK26" s="205"/>
      <c r="AL26" s="205"/>
      <c r="AM26" s="205"/>
      <c r="AN26" s="205"/>
      <c r="AO26" s="174"/>
      <c r="AP26" s="174"/>
      <c r="AQ26" s="174"/>
      <c r="AR26" s="174"/>
      <c r="AS26" s="174"/>
      <c r="AT26" s="174"/>
      <c r="AU26" s="174"/>
      <c r="AV26" s="174"/>
      <c r="AW26" s="176"/>
      <c r="AX26" s="129"/>
      <c r="AY26" s="129"/>
      <c r="AZ26" s="129"/>
      <c r="BA26" s="129"/>
      <c r="BB26" s="129"/>
      <c r="BC26" s="174"/>
      <c r="BD26" s="129"/>
      <c r="BE26" s="129"/>
      <c r="BF26" s="129"/>
    </row>
    <row r="27" spans="1:58" s="140" customFormat="1" ht="12.75" customHeight="1" x14ac:dyDescent="0.2">
      <c r="A27" s="174"/>
      <c r="B27" s="174"/>
      <c r="C27" s="174"/>
      <c r="D27" s="174"/>
      <c r="E27" s="174"/>
      <c r="F27" s="174"/>
      <c r="G27" s="174"/>
      <c r="H27" s="174"/>
      <c r="I27" s="174"/>
      <c r="J27" s="174"/>
      <c r="K27" s="174"/>
      <c r="L27" s="174"/>
      <c r="M27" s="174"/>
      <c r="N27" s="174"/>
      <c r="O27" s="174"/>
      <c r="P27" s="174"/>
      <c r="Q27" s="174"/>
      <c r="R27" s="174"/>
      <c r="S27" s="174"/>
      <c r="T27" s="174"/>
      <c r="U27" s="174"/>
      <c r="V27" s="174"/>
      <c r="W27" s="174"/>
      <c r="X27" s="174"/>
      <c r="Y27" s="174"/>
      <c r="Z27" s="174"/>
      <c r="AA27" s="205"/>
      <c r="AB27" s="205"/>
      <c r="AC27" s="174" t="s">
        <v>745</v>
      </c>
      <c r="AD27" s="174" t="s">
        <v>1423</v>
      </c>
      <c r="AE27" s="174" t="s">
        <v>1437</v>
      </c>
      <c r="AF27" s="174" t="s">
        <v>1479</v>
      </c>
      <c r="AG27" s="183"/>
      <c r="AH27" s="174"/>
      <c r="AI27" s="176"/>
      <c r="AJ27" s="205"/>
      <c r="AK27" s="205"/>
      <c r="AL27" s="205"/>
      <c r="AM27" s="205"/>
      <c r="AN27" s="205"/>
      <c r="AO27" s="174"/>
      <c r="AP27" s="174"/>
      <c r="AQ27" s="174"/>
      <c r="AR27" s="174"/>
      <c r="AS27" s="174"/>
      <c r="AT27" s="174"/>
      <c r="AU27" s="174"/>
      <c r="AV27" s="174"/>
      <c r="AW27" s="176"/>
      <c r="AX27" s="151" t="s">
        <v>1632</v>
      </c>
      <c r="AY27" s="151" t="s">
        <v>1168</v>
      </c>
      <c r="AZ27" s="151" t="s">
        <v>1144</v>
      </c>
      <c r="BA27" s="151" t="s">
        <v>745</v>
      </c>
      <c r="BB27" s="151" t="s">
        <v>248</v>
      </c>
      <c r="BC27" s="129" t="s">
        <v>1633</v>
      </c>
      <c r="BD27" s="129"/>
      <c r="BE27" s="129"/>
      <c r="BF27" s="129"/>
    </row>
    <row r="28" spans="1:58" s="140" customFormat="1" ht="25.5" customHeight="1" x14ac:dyDescent="0.2">
      <c r="A28" s="174"/>
      <c r="B28" s="174"/>
      <c r="C28" s="174"/>
      <c r="D28" s="174"/>
      <c r="E28" s="174"/>
      <c r="F28" s="174"/>
      <c r="G28" s="174"/>
      <c r="H28" s="174"/>
      <c r="I28" s="174"/>
      <c r="J28" s="174"/>
      <c r="K28" s="174"/>
      <c r="L28" s="174"/>
      <c r="M28" s="174"/>
      <c r="N28" s="174"/>
      <c r="O28" s="174"/>
      <c r="P28" s="174"/>
      <c r="Q28" s="174"/>
      <c r="R28" s="174"/>
      <c r="S28" s="174"/>
      <c r="T28" s="174"/>
      <c r="U28" s="174"/>
      <c r="V28" s="174"/>
      <c r="W28" s="174"/>
      <c r="X28" s="174"/>
      <c r="Y28" s="174"/>
      <c r="Z28" s="174"/>
      <c r="AA28" s="205"/>
      <c r="AB28" s="205"/>
      <c r="AC28" s="174" t="s">
        <v>1029</v>
      </c>
      <c r="AD28" s="174" t="s">
        <v>1423</v>
      </c>
      <c r="AE28" s="174" t="s">
        <v>1029</v>
      </c>
      <c r="AF28" s="174" t="s">
        <v>1479</v>
      </c>
      <c r="AG28" s="183"/>
      <c r="AH28" s="174"/>
      <c r="AI28" s="176" t="s">
        <v>1485</v>
      </c>
      <c r="AJ28" s="205"/>
      <c r="AK28" s="205"/>
      <c r="AL28" s="205"/>
      <c r="AM28" s="205"/>
      <c r="AN28" s="205"/>
      <c r="AO28" s="174"/>
      <c r="AP28" s="174"/>
      <c r="AQ28" s="174"/>
      <c r="AR28" s="174"/>
      <c r="AS28" s="174"/>
      <c r="AT28" s="174"/>
      <c r="AU28" s="174"/>
      <c r="AV28" s="174"/>
      <c r="AW28" s="176"/>
      <c r="AX28" s="129"/>
      <c r="AY28" s="129"/>
      <c r="AZ28" s="129"/>
      <c r="BA28" s="129"/>
      <c r="BB28" s="129"/>
      <c r="BC28" s="129"/>
      <c r="BD28" s="129"/>
      <c r="BE28" s="129"/>
      <c r="BF28" s="129"/>
    </row>
    <row r="29" spans="1:58" s="140" customFormat="1" ht="38.25" customHeight="1" x14ac:dyDescent="0.25">
      <c r="A29" s="171" t="s">
        <v>1416</v>
      </c>
      <c r="B29" s="171" t="s">
        <v>601</v>
      </c>
      <c r="C29" s="171" t="s">
        <v>507</v>
      </c>
      <c r="D29" s="172" t="s">
        <v>38</v>
      </c>
      <c r="E29" s="171" t="s">
        <v>516</v>
      </c>
      <c r="F29" s="171"/>
      <c r="G29" s="171"/>
      <c r="H29" s="171" t="s">
        <v>517</v>
      </c>
      <c r="I29" s="171" t="s">
        <v>594</v>
      </c>
      <c r="J29" s="172" t="s">
        <v>757</v>
      </c>
      <c r="K29" s="171" t="s">
        <v>604</v>
      </c>
      <c r="L29" s="172" t="s">
        <v>609</v>
      </c>
      <c r="M29" s="172" t="s">
        <v>342</v>
      </c>
      <c r="N29" s="172"/>
      <c r="O29" s="172" t="s">
        <v>342</v>
      </c>
      <c r="P29" s="172">
        <v>44277</v>
      </c>
      <c r="Q29" s="171" t="s">
        <v>604</v>
      </c>
      <c r="R29" s="171" t="s">
        <v>604</v>
      </c>
      <c r="S29" s="172"/>
      <c r="T29" s="172" t="s">
        <v>1206</v>
      </c>
      <c r="U29" s="172" t="s">
        <v>1214</v>
      </c>
      <c r="V29" s="171" t="str">
        <f t="shared" ref="V29:V37" si="5">R29</f>
        <v>customerAgreementNumber</v>
      </c>
      <c r="W29" s="171"/>
      <c r="X29" s="171" t="s">
        <v>1383</v>
      </c>
      <c r="Y29" s="171" t="s">
        <v>1168</v>
      </c>
      <c r="Z29" s="174" t="s">
        <v>1390</v>
      </c>
      <c r="AA29" s="175" t="s">
        <v>604</v>
      </c>
      <c r="AB29" s="203"/>
      <c r="AC29" s="174" t="str">
        <f t="shared" ref="AC29:AC37" si="6">V29</f>
        <v>customerAgreementNumber</v>
      </c>
      <c r="AD29" s="174" t="s">
        <v>1152</v>
      </c>
      <c r="AE29" s="174" t="s">
        <v>1488</v>
      </c>
      <c r="AF29" s="174" t="s">
        <v>1479</v>
      </c>
      <c r="AG29" s="174"/>
      <c r="AH29" s="174"/>
      <c r="AI29" s="176" t="s">
        <v>963</v>
      </c>
      <c r="AJ29" s="198" t="s">
        <v>1152</v>
      </c>
      <c r="AK29" s="177" t="s">
        <v>609</v>
      </c>
      <c r="AL29" s="177"/>
      <c r="AM29" s="198">
        <f>SUBTOTAL(9,H29:Y29)</f>
        <v>44277</v>
      </c>
      <c r="AN29" s="177" t="s">
        <v>963</v>
      </c>
      <c r="AO29" s="174"/>
      <c r="AP29" s="174"/>
      <c r="AQ29" s="174"/>
      <c r="AR29" s="174"/>
      <c r="AS29" s="174"/>
      <c r="AT29" s="174"/>
      <c r="AU29" s="174"/>
      <c r="AV29" s="174"/>
      <c r="AW29" s="176"/>
      <c r="AX29" s="129"/>
      <c r="AY29" s="129"/>
      <c r="AZ29" s="129"/>
      <c r="BA29" s="129"/>
      <c r="BB29" s="129"/>
      <c r="BC29" s="129"/>
      <c r="BD29" s="129"/>
      <c r="BE29" s="129"/>
      <c r="BF29" s="129"/>
    </row>
    <row r="30" spans="1:58" ht="25.5" x14ac:dyDescent="0.2">
      <c r="A30" s="180" t="s">
        <v>1416</v>
      </c>
      <c r="B30" s="180" t="s">
        <v>601</v>
      </c>
      <c r="C30" s="180" t="s">
        <v>507</v>
      </c>
      <c r="D30" s="181" t="s">
        <v>38</v>
      </c>
      <c r="E30" s="180" t="s">
        <v>526</v>
      </c>
      <c r="F30" s="180"/>
      <c r="G30" s="180"/>
      <c r="H30" s="180">
        <v>1001828</v>
      </c>
      <c r="I30" s="180" t="s">
        <v>594</v>
      </c>
      <c r="J30" s="181" t="s">
        <v>757</v>
      </c>
      <c r="K30" s="180" t="s">
        <v>606</v>
      </c>
      <c r="L30" s="181" t="s">
        <v>525</v>
      </c>
      <c r="M30" s="181" t="s">
        <v>342</v>
      </c>
      <c r="N30" s="181"/>
      <c r="O30" s="181" t="s">
        <v>342</v>
      </c>
      <c r="P30" s="181">
        <v>44277</v>
      </c>
      <c r="Q30" s="180" t="s">
        <v>606</v>
      </c>
      <c r="R30" s="180" t="s">
        <v>606</v>
      </c>
      <c r="S30" s="181"/>
      <c r="T30" s="181" t="s">
        <v>1206</v>
      </c>
      <c r="U30" s="181" t="s">
        <v>1213</v>
      </c>
      <c r="V30" s="180" t="str">
        <f t="shared" si="5"/>
        <v>customerNumber</v>
      </c>
      <c r="W30" s="180"/>
      <c r="X30" s="180" t="s">
        <v>1383</v>
      </c>
      <c r="Y30" s="180" t="s">
        <v>1168</v>
      </c>
      <c r="Z30" s="174" t="s">
        <v>1390</v>
      </c>
      <c r="AA30" s="175" t="s">
        <v>606</v>
      </c>
      <c r="AB30" s="200"/>
      <c r="AC30" s="183" t="str">
        <f t="shared" si="6"/>
        <v>customerNumber</v>
      </c>
      <c r="AD30" s="174" t="s">
        <v>1152</v>
      </c>
      <c r="AE30" s="183" t="s">
        <v>606</v>
      </c>
      <c r="AF30" s="174" t="s">
        <v>1549</v>
      </c>
      <c r="AG30" s="174"/>
      <c r="AH30" s="174"/>
      <c r="AI30" s="185" t="s">
        <v>963</v>
      </c>
      <c r="AJ30" s="198" t="s">
        <v>1152</v>
      </c>
      <c r="AK30" s="177" t="s">
        <v>525</v>
      </c>
      <c r="AL30" s="177"/>
      <c r="AM30" s="198">
        <f>SUBTOTAL(9,H30:Y30)</f>
        <v>1046105</v>
      </c>
      <c r="AN30" s="177" t="s">
        <v>963</v>
      </c>
      <c r="AO30" s="174"/>
      <c r="AP30" s="174"/>
      <c r="AQ30" s="174"/>
      <c r="AR30" s="174"/>
      <c r="AS30" s="174"/>
      <c r="AT30" s="174"/>
      <c r="AU30" s="174"/>
      <c r="AV30" s="174"/>
      <c r="AW30" s="176"/>
      <c r="AX30" s="129"/>
      <c r="AY30" s="129"/>
      <c r="AZ30" s="129"/>
      <c r="BA30" s="129"/>
      <c r="BB30" s="129"/>
      <c r="BC30" s="129"/>
      <c r="BD30" s="129"/>
      <c r="BE30" s="129"/>
      <c r="BF30" s="129"/>
    </row>
    <row r="31" spans="1:58" s="140" customFormat="1" x14ac:dyDescent="0.2">
      <c r="A31" s="171" t="s">
        <v>1416</v>
      </c>
      <c r="B31" s="171" t="s">
        <v>601</v>
      </c>
      <c r="C31" s="171" t="s">
        <v>507</v>
      </c>
      <c r="D31" s="172" t="s">
        <v>38</v>
      </c>
      <c r="E31" s="171" t="s">
        <v>539</v>
      </c>
      <c r="F31" s="171"/>
      <c r="G31" s="171"/>
      <c r="H31" s="171" t="s">
        <v>540</v>
      </c>
      <c r="I31" s="171" t="s">
        <v>594</v>
      </c>
      <c r="J31" s="172" t="s">
        <v>757</v>
      </c>
      <c r="K31" s="171" t="s">
        <v>617</v>
      </c>
      <c r="L31" s="171" t="s">
        <v>616</v>
      </c>
      <c r="M31" s="171" t="s">
        <v>342</v>
      </c>
      <c r="N31" s="171" t="s">
        <v>618</v>
      </c>
      <c r="O31" s="172" t="s">
        <v>342</v>
      </c>
      <c r="P31" s="178">
        <v>44277</v>
      </c>
      <c r="Q31" s="171" t="s">
        <v>617</v>
      </c>
      <c r="R31" s="171" t="s">
        <v>617</v>
      </c>
      <c r="S31" s="172"/>
      <c r="T31" s="172" t="s">
        <v>1206</v>
      </c>
      <c r="U31" s="171" t="s">
        <v>1214</v>
      </c>
      <c r="V31" s="171" t="str">
        <f t="shared" si="5"/>
        <v>productTitle</v>
      </c>
      <c r="W31" s="171"/>
      <c r="X31" s="171" t="s">
        <v>1383</v>
      </c>
      <c r="Y31" s="171" t="s">
        <v>1168</v>
      </c>
      <c r="Z31" s="174" t="s">
        <v>1390</v>
      </c>
      <c r="AA31" s="175" t="s">
        <v>617</v>
      </c>
      <c r="AB31" s="200"/>
      <c r="AC31" s="174" t="str">
        <f t="shared" si="6"/>
        <v>productTitle</v>
      </c>
      <c r="AD31" s="174" t="s">
        <v>1152</v>
      </c>
      <c r="AE31" s="174" t="s">
        <v>616</v>
      </c>
      <c r="AF31" s="174" t="s">
        <v>1479</v>
      </c>
      <c r="AG31" s="174"/>
      <c r="AH31" s="174"/>
      <c r="AI31" s="176" t="s">
        <v>963</v>
      </c>
      <c r="AJ31" s="198" t="s">
        <v>1152</v>
      </c>
      <c r="AK31" s="177" t="s">
        <v>616</v>
      </c>
      <c r="AL31" s="177"/>
      <c r="AM31" s="198"/>
      <c r="AN31" s="177" t="s">
        <v>963</v>
      </c>
      <c r="AO31" s="174"/>
      <c r="AP31" s="174"/>
      <c r="AQ31" s="174"/>
      <c r="AR31" s="174"/>
      <c r="AS31" s="174"/>
      <c r="AT31" s="174"/>
      <c r="AU31" s="174"/>
      <c r="AV31" s="174"/>
      <c r="AW31" s="176"/>
      <c r="AX31" s="129"/>
      <c r="AY31" s="129"/>
      <c r="AZ31" s="129"/>
      <c r="BA31" s="129"/>
      <c r="BB31" s="129"/>
      <c r="BC31" s="174"/>
      <c r="BD31" s="129"/>
      <c r="BE31" s="129"/>
      <c r="BF31" s="129"/>
    </row>
    <row r="32" spans="1:58" x14ac:dyDescent="0.2">
      <c r="A32" s="171" t="s">
        <v>1416</v>
      </c>
      <c r="B32" s="171" t="s">
        <v>601</v>
      </c>
      <c r="C32" s="171" t="s">
        <v>507</v>
      </c>
      <c r="D32" s="172" t="s">
        <v>38</v>
      </c>
      <c r="E32" s="171" t="s">
        <v>542</v>
      </c>
      <c r="F32" s="171"/>
      <c r="G32" s="171"/>
      <c r="H32" s="171">
        <v>421</v>
      </c>
      <c r="I32" s="171" t="s">
        <v>594</v>
      </c>
      <c r="J32" s="172" t="s">
        <v>757</v>
      </c>
      <c r="K32" s="171" t="s">
        <v>607</v>
      </c>
      <c r="L32" s="171" t="s">
        <v>619</v>
      </c>
      <c r="M32" s="171" t="s">
        <v>342</v>
      </c>
      <c r="N32" s="171"/>
      <c r="O32" s="172" t="s">
        <v>342</v>
      </c>
      <c r="P32" s="178">
        <v>44277</v>
      </c>
      <c r="Q32" s="171" t="s">
        <v>607</v>
      </c>
      <c r="R32" s="171" t="s">
        <v>607</v>
      </c>
      <c r="S32" s="172"/>
      <c r="T32" s="172" t="s">
        <v>1206</v>
      </c>
      <c r="U32" s="171" t="s">
        <v>1214</v>
      </c>
      <c r="V32" s="171" t="str">
        <f t="shared" si="5"/>
        <v>productNumber</v>
      </c>
      <c r="W32" s="171"/>
      <c r="X32" s="171" t="s">
        <v>1383</v>
      </c>
      <c r="Y32" s="171" t="s">
        <v>1168</v>
      </c>
      <c r="Z32" s="174" t="s">
        <v>1390</v>
      </c>
      <c r="AA32" s="175" t="s">
        <v>607</v>
      </c>
      <c r="AB32" s="205"/>
      <c r="AC32" s="174" t="str">
        <f t="shared" si="6"/>
        <v>productNumber</v>
      </c>
      <c r="AD32" s="174" t="s">
        <v>1152</v>
      </c>
      <c r="AE32" s="174" t="s">
        <v>619</v>
      </c>
      <c r="AF32" s="174" t="s">
        <v>1479</v>
      </c>
      <c r="AG32" s="174"/>
      <c r="AH32" s="174"/>
      <c r="AI32" s="176" t="s">
        <v>963</v>
      </c>
      <c r="AJ32" s="198" t="s">
        <v>1152</v>
      </c>
      <c r="AK32" s="177" t="s">
        <v>619</v>
      </c>
      <c r="AL32" s="177"/>
      <c r="AM32" s="198">
        <f>SUBTOTAL(9,H32:Y32)</f>
        <v>44698</v>
      </c>
      <c r="AN32" s="177" t="s">
        <v>963</v>
      </c>
      <c r="AO32" s="174"/>
      <c r="AP32" s="174"/>
      <c r="AQ32" s="174"/>
      <c r="AR32" s="174"/>
      <c r="AS32" s="174"/>
      <c r="AT32" s="174"/>
      <c r="AU32" s="174"/>
      <c r="AV32" s="174"/>
      <c r="AW32" s="176"/>
      <c r="AX32" s="129"/>
      <c r="AY32" s="129"/>
      <c r="AZ32" s="129"/>
      <c r="BA32" s="129"/>
      <c r="BB32" s="129"/>
      <c r="BC32" s="129"/>
      <c r="BD32" s="129"/>
      <c r="BE32" s="129"/>
      <c r="BF32" s="129"/>
    </row>
    <row r="33" spans="1:58" ht="25.5" x14ac:dyDescent="0.2">
      <c r="A33" s="171" t="s">
        <v>1416</v>
      </c>
      <c r="B33" s="171" t="s">
        <v>601</v>
      </c>
      <c r="C33" s="171" t="s">
        <v>507</v>
      </c>
      <c r="D33" s="172" t="s">
        <v>38</v>
      </c>
      <c r="E33" s="171" t="s">
        <v>351</v>
      </c>
      <c r="F33" s="171"/>
      <c r="G33" s="171"/>
      <c r="H33" s="171">
        <v>100010</v>
      </c>
      <c r="I33" s="171" t="s">
        <v>594</v>
      </c>
      <c r="J33" s="172" t="s">
        <v>757</v>
      </c>
      <c r="K33" s="172" t="s">
        <v>669</v>
      </c>
      <c r="L33" s="172" t="s">
        <v>668</v>
      </c>
      <c r="M33" s="171" t="s">
        <v>45</v>
      </c>
      <c r="N33" s="172" t="s">
        <v>627</v>
      </c>
      <c r="O33" s="172" t="s">
        <v>342</v>
      </c>
      <c r="P33" s="178">
        <v>44281</v>
      </c>
      <c r="Q33" s="171" t="s">
        <v>669</v>
      </c>
      <c r="R33" s="171" t="s">
        <v>669</v>
      </c>
      <c r="S33" s="172" t="s">
        <v>36</v>
      </c>
      <c r="T33" s="171" t="s">
        <v>1206</v>
      </c>
      <c r="U33" s="172" t="s">
        <v>1213</v>
      </c>
      <c r="V33" s="171" t="str">
        <f t="shared" si="5"/>
        <v>costCenterNumber</v>
      </c>
      <c r="W33" s="171"/>
      <c r="X33" s="171" t="s">
        <v>1383</v>
      </c>
      <c r="Y33" s="171" t="s">
        <v>1168</v>
      </c>
      <c r="Z33" s="174" t="s">
        <v>1411</v>
      </c>
      <c r="AA33" s="175" t="s">
        <v>669</v>
      </c>
      <c r="AB33" s="205"/>
      <c r="AC33" s="174" t="str">
        <f t="shared" si="6"/>
        <v>costCenterNumber</v>
      </c>
      <c r="AD33" s="174" t="s">
        <v>1152</v>
      </c>
      <c r="AE33" s="174"/>
      <c r="AF33" s="174" t="s">
        <v>1549</v>
      </c>
      <c r="AG33" s="174"/>
      <c r="AH33" s="174"/>
      <c r="AI33" s="176" t="s">
        <v>1489</v>
      </c>
      <c r="AJ33" s="198" t="s">
        <v>1410</v>
      </c>
      <c r="AK33" s="177" t="s">
        <v>248</v>
      </c>
      <c r="AL33" s="177"/>
      <c r="AM33" s="198">
        <f>SUBTOTAL(9,H33:Y33)</f>
        <v>144291</v>
      </c>
      <c r="AN33" s="177" t="s">
        <v>963</v>
      </c>
      <c r="AO33" s="174"/>
      <c r="AP33" s="174"/>
      <c r="AQ33" s="174"/>
      <c r="AR33" s="174"/>
      <c r="AS33" s="174"/>
      <c r="AT33" s="174"/>
      <c r="AU33" s="174"/>
      <c r="AV33" s="174"/>
      <c r="AW33" s="176"/>
      <c r="AX33" s="129"/>
      <c r="AY33" s="129"/>
      <c r="AZ33" s="129"/>
      <c r="BA33" s="129"/>
      <c r="BB33" s="129"/>
      <c r="BC33" s="129"/>
      <c r="BD33" s="129"/>
      <c r="BE33" s="129"/>
      <c r="BF33" s="129"/>
    </row>
    <row r="34" spans="1:58" s="140" customFormat="1" ht="25.5" x14ac:dyDescent="0.2">
      <c r="A34" s="171" t="s">
        <v>1416</v>
      </c>
      <c r="B34" s="171" t="s">
        <v>601</v>
      </c>
      <c r="C34" s="171" t="s">
        <v>507</v>
      </c>
      <c r="D34" s="172" t="s">
        <v>38</v>
      </c>
      <c r="E34" s="171" t="s">
        <v>532</v>
      </c>
      <c r="F34" s="171"/>
      <c r="G34" s="171"/>
      <c r="H34" s="171">
        <v>2</v>
      </c>
      <c r="I34" s="171" t="s">
        <v>594</v>
      </c>
      <c r="J34" s="172" t="s">
        <v>757</v>
      </c>
      <c r="K34" s="171" t="s">
        <v>659</v>
      </c>
      <c r="L34" s="172" t="s">
        <v>613</v>
      </c>
      <c r="M34" s="172" t="s">
        <v>342</v>
      </c>
      <c r="N34" s="172" t="s">
        <v>612</v>
      </c>
      <c r="O34" s="172" t="s">
        <v>342</v>
      </c>
      <c r="P34" s="172">
        <v>44277</v>
      </c>
      <c r="Q34" s="171" t="s">
        <v>659</v>
      </c>
      <c r="R34" s="171" t="s">
        <v>1216</v>
      </c>
      <c r="S34" s="172"/>
      <c r="T34" s="171" t="s">
        <v>1206</v>
      </c>
      <c r="U34" s="171" t="s">
        <v>1214</v>
      </c>
      <c r="V34" s="171" t="str">
        <f t="shared" si="5"/>
        <v>period_factor</v>
      </c>
      <c r="W34" s="171"/>
      <c r="X34" s="171" t="s">
        <v>1383</v>
      </c>
      <c r="Y34" s="171" t="s">
        <v>1168</v>
      </c>
      <c r="Z34" s="174" t="s">
        <v>1390</v>
      </c>
      <c r="AA34" s="175" t="s">
        <v>1216</v>
      </c>
      <c r="AB34" s="205"/>
      <c r="AC34" s="174" t="str">
        <f t="shared" si="6"/>
        <v>period_factor</v>
      </c>
      <c r="AD34" s="174" t="s">
        <v>1152</v>
      </c>
      <c r="AE34" s="174" t="s">
        <v>613</v>
      </c>
      <c r="AF34" s="174" t="s">
        <v>1479</v>
      </c>
      <c r="AG34" s="190"/>
      <c r="AH34" s="174"/>
      <c r="AI34" s="176" t="s">
        <v>1551</v>
      </c>
      <c r="AJ34" s="198" t="s">
        <v>1152</v>
      </c>
      <c r="AK34" s="177" t="s">
        <v>613</v>
      </c>
      <c r="AL34" s="177"/>
      <c r="AM34" s="198">
        <f>SUBTOTAL(9,H34:Y34)</f>
        <v>44279</v>
      </c>
      <c r="AN34" s="177" t="s">
        <v>963</v>
      </c>
      <c r="AO34" s="174"/>
      <c r="AP34" s="174"/>
      <c r="AQ34" s="174"/>
      <c r="AR34" s="174"/>
      <c r="AS34" s="174"/>
      <c r="AT34" s="174"/>
      <c r="AU34" s="174"/>
      <c r="AV34" s="174"/>
      <c r="AW34" s="176"/>
      <c r="AX34" s="129"/>
      <c r="AY34" s="129"/>
      <c r="AZ34" s="129"/>
      <c r="BA34" s="129"/>
      <c r="BB34" s="129"/>
      <c r="BC34" s="129"/>
      <c r="BD34" s="129"/>
      <c r="BE34" s="129"/>
      <c r="BF34" s="129"/>
    </row>
    <row r="35" spans="1:58" s="140" customFormat="1" ht="25.5" x14ac:dyDescent="0.2">
      <c r="A35" s="171" t="s">
        <v>1416</v>
      </c>
      <c r="B35" s="171" t="s">
        <v>601</v>
      </c>
      <c r="C35" s="171" t="s">
        <v>507</v>
      </c>
      <c r="D35" s="172" t="s">
        <v>38</v>
      </c>
      <c r="E35" s="171" t="s">
        <v>533</v>
      </c>
      <c r="F35" s="171"/>
      <c r="G35" s="171"/>
      <c r="H35" s="173">
        <v>44228</v>
      </c>
      <c r="I35" s="171" t="s">
        <v>594</v>
      </c>
      <c r="J35" s="172" t="s">
        <v>757</v>
      </c>
      <c r="K35" s="171" t="s">
        <v>255</v>
      </c>
      <c r="L35" s="172" t="s">
        <v>622</v>
      </c>
      <c r="M35" s="172" t="s">
        <v>49</v>
      </c>
      <c r="N35" s="172" t="s">
        <v>934</v>
      </c>
      <c r="O35" s="172" t="s">
        <v>342</v>
      </c>
      <c r="P35" s="172">
        <v>44281</v>
      </c>
      <c r="Q35" s="171" t="s">
        <v>255</v>
      </c>
      <c r="R35" s="171" t="s">
        <v>1217</v>
      </c>
      <c r="S35" s="172"/>
      <c r="T35" s="171" t="s">
        <v>1206</v>
      </c>
      <c r="U35" s="171" t="s">
        <v>1214</v>
      </c>
      <c r="V35" s="171" t="str">
        <f t="shared" si="5"/>
        <v>period_startDate</v>
      </c>
      <c r="W35" s="171"/>
      <c r="X35" s="171" t="s">
        <v>1383</v>
      </c>
      <c r="Y35" s="171" t="s">
        <v>1168</v>
      </c>
      <c r="Z35" s="174" t="s">
        <v>1390</v>
      </c>
      <c r="AA35" s="175" t="s">
        <v>1217</v>
      </c>
      <c r="AB35" s="205"/>
      <c r="AC35" s="174" t="str">
        <f t="shared" si="6"/>
        <v>period_startDate</v>
      </c>
      <c r="AD35" s="174" t="s">
        <v>1152</v>
      </c>
      <c r="AE35" s="174" t="s">
        <v>1294</v>
      </c>
      <c r="AF35" s="174" t="s">
        <v>1479</v>
      </c>
      <c r="AG35" s="174"/>
      <c r="AH35" s="174"/>
      <c r="AI35" s="186" t="s">
        <v>1583</v>
      </c>
      <c r="AJ35" s="198" t="s">
        <v>1152</v>
      </c>
      <c r="AK35" s="177" t="s">
        <v>622</v>
      </c>
      <c r="AL35" s="177"/>
      <c r="AM35" s="198">
        <f>SUBTOTAL(9,H35:Y35)</f>
        <v>88509</v>
      </c>
      <c r="AN35" s="177" t="s">
        <v>1060</v>
      </c>
      <c r="AO35" s="174"/>
      <c r="AP35" s="174"/>
      <c r="AQ35" s="174"/>
      <c r="AR35" s="174"/>
      <c r="AS35" s="174"/>
      <c r="AT35" s="174"/>
      <c r="AU35" s="174"/>
      <c r="AV35" s="174"/>
      <c r="AW35" s="176"/>
      <c r="AX35" s="129"/>
      <c r="AY35" s="129"/>
      <c r="AZ35" s="129"/>
      <c r="BA35" s="129"/>
      <c r="BB35" s="129"/>
      <c r="BC35" s="174"/>
      <c r="BD35" s="129"/>
      <c r="BE35" s="129"/>
      <c r="BF35" s="129"/>
    </row>
    <row r="36" spans="1:58" s="140" customFormat="1" x14ac:dyDescent="0.2">
      <c r="A36" s="171" t="s">
        <v>1416</v>
      </c>
      <c r="B36" s="171" t="s">
        <v>601</v>
      </c>
      <c r="C36" s="171" t="s">
        <v>507</v>
      </c>
      <c r="D36" s="172" t="s">
        <v>38</v>
      </c>
      <c r="E36" s="171" t="s">
        <v>535</v>
      </c>
      <c r="F36" s="171"/>
      <c r="G36" s="171"/>
      <c r="H36" s="171" t="s">
        <v>35</v>
      </c>
      <c r="I36" s="171" t="s">
        <v>594</v>
      </c>
      <c r="J36" s="172" t="s">
        <v>757</v>
      </c>
      <c r="K36" s="171" t="s">
        <v>166</v>
      </c>
      <c r="L36" s="171" t="s">
        <v>623</v>
      </c>
      <c r="M36" s="171" t="s">
        <v>615</v>
      </c>
      <c r="N36" s="171" t="s">
        <v>935</v>
      </c>
      <c r="O36" s="172" t="s">
        <v>342</v>
      </c>
      <c r="P36" s="178">
        <v>44281</v>
      </c>
      <c r="Q36" s="171" t="s">
        <v>166</v>
      </c>
      <c r="R36" s="171" t="s">
        <v>1219</v>
      </c>
      <c r="S36" s="172"/>
      <c r="T36" s="171" t="s">
        <v>1206</v>
      </c>
      <c r="U36" s="171" t="s">
        <v>1214</v>
      </c>
      <c r="V36" s="171" t="str">
        <f t="shared" si="5"/>
        <v>period_endDate</v>
      </c>
      <c r="W36" s="171"/>
      <c r="X36" s="171" t="s">
        <v>1383</v>
      </c>
      <c r="Y36" s="171" t="s">
        <v>1168</v>
      </c>
      <c r="Z36" s="174" t="s">
        <v>1390</v>
      </c>
      <c r="AA36" s="175" t="s">
        <v>1219</v>
      </c>
      <c r="AB36" s="205"/>
      <c r="AC36" s="174" t="str">
        <f t="shared" si="6"/>
        <v>period_endDate</v>
      </c>
      <c r="AD36" s="174" t="s">
        <v>1152</v>
      </c>
      <c r="AE36" s="174" t="s">
        <v>1516</v>
      </c>
      <c r="AF36" s="174" t="s">
        <v>1479</v>
      </c>
      <c r="AG36" s="174"/>
      <c r="AH36" s="174"/>
      <c r="AI36" s="174" t="s">
        <v>1552</v>
      </c>
      <c r="AJ36" s="198" t="s">
        <v>1152</v>
      </c>
      <c r="AK36" s="177" t="s">
        <v>623</v>
      </c>
      <c r="AL36" s="177"/>
      <c r="AM36" s="198"/>
      <c r="AN36" s="177" t="s">
        <v>1060</v>
      </c>
      <c r="AO36" s="174"/>
      <c r="AP36" s="174"/>
      <c r="AQ36" s="174"/>
      <c r="AR36" s="174"/>
      <c r="AS36" s="174"/>
      <c r="AT36" s="174"/>
      <c r="AU36" s="174"/>
      <c r="AV36" s="174"/>
      <c r="AW36" s="176"/>
      <c r="AX36" s="129"/>
      <c r="AY36" s="129"/>
      <c r="AZ36" s="129"/>
      <c r="BA36" s="129"/>
      <c r="BB36" s="129"/>
      <c r="BC36" s="129"/>
      <c r="BD36" s="129"/>
      <c r="BE36" s="129"/>
      <c r="BF36" s="129"/>
    </row>
    <row r="37" spans="1:58" s="140" customFormat="1" x14ac:dyDescent="0.2">
      <c r="A37" s="183" t="s">
        <v>1416</v>
      </c>
      <c r="B37" s="200" t="s">
        <v>601</v>
      </c>
      <c r="C37" s="200" t="s">
        <v>507</v>
      </c>
      <c r="D37" s="206" t="s">
        <v>38</v>
      </c>
      <c r="E37" s="200" t="s">
        <v>536</v>
      </c>
      <c r="F37" s="200"/>
      <c r="G37" s="200"/>
      <c r="H37" s="200" t="s">
        <v>537</v>
      </c>
      <c r="I37" s="200" t="s">
        <v>594</v>
      </c>
      <c r="J37" s="206" t="s">
        <v>757</v>
      </c>
      <c r="K37" s="200" t="s">
        <v>259</v>
      </c>
      <c r="L37" s="200" t="s">
        <v>624</v>
      </c>
      <c r="M37" s="200" t="s">
        <v>342</v>
      </c>
      <c r="N37" s="200" t="s">
        <v>611</v>
      </c>
      <c r="O37" s="206" t="s">
        <v>342</v>
      </c>
      <c r="P37" s="207">
        <v>44277</v>
      </c>
      <c r="Q37" s="200" t="s">
        <v>259</v>
      </c>
      <c r="R37" s="200" t="s">
        <v>1220</v>
      </c>
      <c r="S37" s="206"/>
      <c r="T37" s="200" t="s">
        <v>1206</v>
      </c>
      <c r="U37" s="200" t="s">
        <v>1214</v>
      </c>
      <c r="V37" s="200" t="str">
        <f t="shared" si="5"/>
        <v>period_type</v>
      </c>
      <c r="W37" s="200"/>
      <c r="X37" s="200" t="s">
        <v>1383</v>
      </c>
      <c r="Y37" s="200" t="s">
        <v>1168</v>
      </c>
      <c r="Z37" s="205" t="s">
        <v>1390</v>
      </c>
      <c r="AA37" s="175" t="s">
        <v>1220</v>
      </c>
      <c r="AB37" s="205"/>
      <c r="AC37" s="175" t="str">
        <f t="shared" si="6"/>
        <v>period_type</v>
      </c>
      <c r="AD37" s="205" t="s">
        <v>1152</v>
      </c>
      <c r="AE37" s="205"/>
      <c r="AF37" s="205" t="s">
        <v>1549</v>
      </c>
      <c r="AG37" s="205"/>
      <c r="AH37" s="205"/>
      <c r="AI37" s="174" t="s">
        <v>1552</v>
      </c>
      <c r="AJ37" s="198" t="s">
        <v>1152</v>
      </c>
      <c r="AK37" s="177" t="s">
        <v>624</v>
      </c>
      <c r="AL37" s="177"/>
      <c r="AM37" s="198"/>
      <c r="AN37" s="177" t="s">
        <v>963</v>
      </c>
      <c r="AO37" s="205"/>
      <c r="AP37" s="205"/>
      <c r="AQ37" s="205"/>
      <c r="AR37" s="205"/>
      <c r="AS37" s="205"/>
      <c r="AT37" s="205"/>
      <c r="AU37" s="205"/>
      <c r="AV37" s="205"/>
      <c r="AW37" s="198"/>
      <c r="AX37" s="37"/>
      <c r="AY37" s="37"/>
      <c r="AZ37" s="37"/>
      <c r="BA37" s="37"/>
      <c r="BB37" s="37"/>
      <c r="BC37" s="37"/>
      <c r="BD37" s="37"/>
      <c r="BE37" s="37"/>
      <c r="BF37" s="37"/>
    </row>
    <row r="38" spans="1:58" s="140" customFormat="1" x14ac:dyDescent="0.2">
      <c r="A38" s="174"/>
      <c r="B38" s="174"/>
      <c r="C38" s="174"/>
      <c r="D38" s="174"/>
      <c r="E38" s="174"/>
      <c r="F38" s="174"/>
      <c r="G38" s="174"/>
      <c r="H38" s="174"/>
      <c r="I38" s="174"/>
      <c r="J38" s="174"/>
      <c r="K38" s="174"/>
      <c r="L38" s="174"/>
      <c r="M38" s="174"/>
      <c r="N38" s="174"/>
      <c r="O38" s="174"/>
      <c r="P38" s="174"/>
      <c r="Q38" s="174"/>
      <c r="R38" s="174"/>
      <c r="S38" s="174"/>
      <c r="T38" s="174"/>
      <c r="U38" s="174"/>
      <c r="V38" s="174"/>
      <c r="W38" s="174"/>
      <c r="X38" s="174"/>
      <c r="Y38" s="174"/>
      <c r="Z38" s="174"/>
      <c r="AA38" s="205"/>
      <c r="AB38" s="205"/>
      <c r="AC38" s="174" t="s">
        <v>1238</v>
      </c>
      <c r="AD38" s="174" t="s">
        <v>1152</v>
      </c>
      <c r="AE38" s="174" t="s">
        <v>1238</v>
      </c>
      <c r="AF38" s="174" t="s">
        <v>1549</v>
      </c>
      <c r="AG38" s="183"/>
      <c r="AH38" s="174"/>
      <c r="AI38" s="176"/>
      <c r="AJ38" s="205"/>
      <c r="AK38" s="205"/>
      <c r="AL38" s="205"/>
      <c r="AM38" s="205"/>
      <c r="AN38" s="205"/>
      <c r="AO38" s="174"/>
      <c r="AP38" s="174"/>
      <c r="AQ38" s="174"/>
      <c r="AR38" s="174"/>
      <c r="AS38" s="174"/>
      <c r="AT38" s="174"/>
      <c r="AU38" s="174"/>
      <c r="AV38" s="174"/>
      <c r="AW38" s="176"/>
      <c r="AX38" s="129"/>
      <c r="AY38" s="129"/>
      <c r="AZ38" s="129"/>
      <c r="BA38" s="129"/>
      <c r="BB38" s="129"/>
      <c r="BC38" s="129"/>
      <c r="BD38" s="129"/>
      <c r="BE38" s="129"/>
      <c r="BF38" s="129"/>
    </row>
    <row r="39" spans="1:58" s="140" customFormat="1" x14ac:dyDescent="0.2">
      <c r="A39" s="174"/>
      <c r="B39" s="174"/>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c r="AA39" s="205"/>
      <c r="AB39" s="205"/>
      <c r="AC39" s="174" t="s">
        <v>1438</v>
      </c>
      <c r="AD39" s="174" t="s">
        <v>1152</v>
      </c>
      <c r="AE39" s="174" t="s">
        <v>1438</v>
      </c>
      <c r="AF39" s="174" t="s">
        <v>1549</v>
      </c>
      <c r="AG39" s="183"/>
      <c r="AH39" s="174"/>
      <c r="AI39" s="176"/>
      <c r="AJ39" s="205"/>
      <c r="AK39" s="205"/>
      <c r="AL39" s="205"/>
      <c r="AM39" s="205"/>
      <c r="AN39" s="205"/>
      <c r="AO39" s="174"/>
      <c r="AP39" s="174"/>
      <c r="AQ39" s="174"/>
      <c r="AR39" s="174"/>
      <c r="AS39" s="174"/>
      <c r="AT39" s="174"/>
      <c r="AU39" s="174"/>
      <c r="AV39" s="174"/>
      <c r="AW39" s="176"/>
      <c r="AX39" s="129"/>
      <c r="AY39" s="129"/>
      <c r="AZ39" s="129"/>
      <c r="BA39" s="129"/>
      <c r="BB39" s="129"/>
      <c r="BC39" s="174"/>
      <c r="BD39" s="129"/>
      <c r="BE39" s="129"/>
      <c r="BF39" s="129"/>
    </row>
    <row r="40" spans="1:58" s="140" customFormat="1" x14ac:dyDescent="0.2">
      <c r="A40" s="174"/>
      <c r="B40" s="174"/>
      <c r="C40" s="174"/>
      <c r="D40" s="174"/>
      <c r="E40" s="174"/>
      <c r="F40" s="174"/>
      <c r="G40" s="174"/>
      <c r="H40" s="174"/>
      <c r="I40" s="174"/>
      <c r="J40" s="174"/>
      <c r="K40" s="174"/>
      <c r="L40" s="174"/>
      <c r="M40" s="174"/>
      <c r="N40" s="174"/>
      <c r="O40" s="174"/>
      <c r="P40" s="174"/>
      <c r="Q40" s="174"/>
      <c r="R40" s="174"/>
      <c r="S40" s="174"/>
      <c r="T40" s="174"/>
      <c r="U40" s="174"/>
      <c r="V40" s="174"/>
      <c r="W40" s="174"/>
      <c r="X40" s="174"/>
      <c r="Y40" s="174"/>
      <c r="Z40" s="174"/>
      <c r="AA40" s="205"/>
      <c r="AB40" s="205"/>
      <c r="AC40" s="174" t="s">
        <v>1439</v>
      </c>
      <c r="AD40" s="174" t="s">
        <v>1152</v>
      </c>
      <c r="AE40" s="174" t="s">
        <v>1439</v>
      </c>
      <c r="AF40" s="174" t="s">
        <v>1549</v>
      </c>
      <c r="AG40" s="183"/>
      <c r="AH40" s="174"/>
      <c r="AI40" s="176"/>
      <c r="AJ40" s="205"/>
      <c r="AK40" s="205"/>
      <c r="AL40" s="205"/>
      <c r="AM40" s="205"/>
      <c r="AN40" s="205"/>
      <c r="AO40" s="174"/>
      <c r="AP40" s="174"/>
      <c r="AQ40" s="174"/>
      <c r="AR40" s="174"/>
      <c r="AS40" s="174"/>
      <c r="AT40" s="174"/>
      <c r="AU40" s="174"/>
      <c r="AV40" s="174"/>
      <c r="AW40" s="176"/>
      <c r="AX40" s="129"/>
      <c r="AY40" s="129"/>
      <c r="AZ40" s="129"/>
      <c r="BA40" s="129"/>
      <c r="BB40" s="129"/>
      <c r="BC40" s="129"/>
      <c r="BD40" s="129"/>
      <c r="BE40" s="129"/>
      <c r="BF40" s="129"/>
    </row>
    <row r="41" spans="1:58" s="140" customFormat="1" x14ac:dyDescent="0.2">
      <c r="A41" s="174"/>
      <c r="B41" s="174"/>
      <c r="C41" s="174"/>
      <c r="D41" s="174"/>
      <c r="E41" s="174"/>
      <c r="F41" s="174"/>
      <c r="G41" s="174"/>
      <c r="H41" s="174"/>
      <c r="I41" s="174"/>
      <c r="J41" s="174"/>
      <c r="K41" s="174"/>
      <c r="L41" s="174"/>
      <c r="M41" s="174"/>
      <c r="N41" s="174"/>
      <c r="O41" s="174"/>
      <c r="P41" s="174"/>
      <c r="Q41" s="174"/>
      <c r="R41" s="174"/>
      <c r="S41" s="174"/>
      <c r="T41" s="174"/>
      <c r="U41" s="174"/>
      <c r="V41" s="174"/>
      <c r="W41" s="174"/>
      <c r="X41" s="174"/>
      <c r="Y41" s="174"/>
      <c r="Z41" s="174"/>
      <c r="AA41" s="205"/>
      <c r="AB41" s="205"/>
      <c r="AC41" s="174"/>
      <c r="AD41" s="174" t="s">
        <v>1152</v>
      </c>
      <c r="AE41" s="174" t="s">
        <v>1150</v>
      </c>
      <c r="AF41" s="174" t="s">
        <v>1479</v>
      </c>
      <c r="AG41" s="183"/>
      <c r="AH41" s="174"/>
      <c r="AI41" s="176" t="s">
        <v>1490</v>
      </c>
      <c r="AJ41" s="205"/>
      <c r="AK41" s="205"/>
      <c r="AL41" s="205"/>
      <c r="AM41" s="205"/>
      <c r="AN41" s="205"/>
      <c r="AO41" s="174"/>
      <c r="AP41" s="174"/>
      <c r="AQ41" s="174"/>
      <c r="AR41" s="174"/>
      <c r="AS41" s="174"/>
      <c r="AT41" s="174"/>
      <c r="AU41" s="174"/>
      <c r="AV41" s="174"/>
      <c r="AW41" s="176"/>
      <c r="AX41" s="129"/>
      <c r="AY41" s="129"/>
      <c r="AZ41" s="129"/>
      <c r="BA41" s="129"/>
      <c r="BB41" s="129"/>
      <c r="BC41" s="129"/>
      <c r="BD41" s="129"/>
      <c r="BE41" s="129"/>
      <c r="BF41" s="129"/>
    </row>
    <row r="42" spans="1:58" ht="114.75" customHeight="1" x14ac:dyDescent="0.2">
      <c r="A42" s="174"/>
      <c r="B42" s="174"/>
      <c r="C42" s="174"/>
      <c r="D42" s="174"/>
      <c r="E42" s="174"/>
      <c r="F42" s="174"/>
      <c r="G42" s="174"/>
      <c r="H42" s="174"/>
      <c r="I42" s="174"/>
      <c r="J42" s="174"/>
      <c r="K42" s="174"/>
      <c r="L42" s="174"/>
      <c r="M42" s="174"/>
      <c r="N42" s="174"/>
      <c r="O42" s="174"/>
      <c r="P42" s="174"/>
      <c r="Q42" s="174"/>
      <c r="R42" s="174"/>
      <c r="S42" s="174"/>
      <c r="T42" s="174"/>
      <c r="U42" s="174"/>
      <c r="V42" s="174"/>
      <c r="W42" s="174"/>
      <c r="X42" s="174"/>
      <c r="Y42" s="174"/>
      <c r="Z42" s="174"/>
      <c r="AA42" s="205"/>
      <c r="AB42" s="205"/>
      <c r="AC42" s="174"/>
      <c r="AD42" s="174" t="s">
        <v>1152</v>
      </c>
      <c r="AE42" s="174" t="s">
        <v>1252</v>
      </c>
      <c r="AF42" s="174" t="s">
        <v>1479</v>
      </c>
      <c r="AG42" s="183"/>
      <c r="AH42" s="174"/>
      <c r="AI42" s="186" t="s">
        <v>1492</v>
      </c>
      <c r="AJ42" s="205"/>
      <c r="AK42" s="205"/>
      <c r="AL42" s="205"/>
      <c r="AM42" s="205"/>
      <c r="AN42" s="205"/>
      <c r="AO42" s="174"/>
      <c r="AP42" s="174"/>
      <c r="AQ42" s="174"/>
      <c r="AR42" s="174"/>
      <c r="AS42" s="174"/>
      <c r="AT42" s="174"/>
      <c r="AU42" s="174"/>
      <c r="AV42" s="174"/>
      <c r="AW42" s="176"/>
      <c r="AX42" s="129"/>
      <c r="AY42" s="129"/>
      <c r="AZ42" s="129"/>
      <c r="BA42" s="129"/>
      <c r="BB42" s="129"/>
      <c r="BC42" s="129"/>
      <c r="BD42" s="129"/>
      <c r="BE42" s="129"/>
      <c r="BF42" s="129"/>
    </row>
    <row r="43" spans="1:58" x14ac:dyDescent="0.2">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c r="AA43" s="205"/>
      <c r="AB43" s="205"/>
      <c r="AC43" s="183"/>
      <c r="AD43" s="174" t="s">
        <v>1152</v>
      </c>
      <c r="AE43" s="183" t="s">
        <v>1472</v>
      </c>
      <c r="AF43" s="183" t="s">
        <v>1549</v>
      </c>
      <c r="AG43" s="183"/>
      <c r="AH43" s="183"/>
      <c r="AI43" s="185"/>
      <c r="AJ43" s="205"/>
      <c r="AK43" s="205"/>
      <c r="AL43" s="205"/>
      <c r="AM43" s="205"/>
      <c r="AN43" s="205"/>
      <c r="AO43" s="183"/>
      <c r="AP43" s="183"/>
      <c r="AQ43" s="183"/>
      <c r="AR43" s="183"/>
      <c r="AS43" s="183"/>
      <c r="AT43" s="183"/>
      <c r="AU43" s="183"/>
      <c r="AV43" s="183"/>
      <c r="AW43" s="185"/>
    </row>
    <row r="44" spans="1:58" x14ac:dyDescent="0.2">
      <c r="A44" s="183"/>
      <c r="B44" s="183"/>
      <c r="C44" s="183"/>
      <c r="D44" s="183"/>
      <c r="E44" s="183"/>
      <c r="F44" s="183"/>
      <c r="G44" s="183"/>
      <c r="H44" s="183"/>
      <c r="I44" s="183"/>
      <c r="J44" s="183"/>
      <c r="K44" s="183"/>
      <c r="L44" s="183"/>
      <c r="M44" s="183"/>
      <c r="N44" s="183"/>
      <c r="O44" s="183"/>
      <c r="P44" s="183"/>
      <c r="Q44" s="183"/>
      <c r="R44" s="183"/>
      <c r="S44" s="183"/>
      <c r="T44" s="183"/>
      <c r="U44" s="183"/>
      <c r="V44" s="183"/>
      <c r="W44" s="183"/>
      <c r="X44" s="183"/>
      <c r="Y44" s="183"/>
      <c r="Z44" s="183"/>
      <c r="AA44" s="205"/>
      <c r="AB44" s="205"/>
      <c r="AC44" s="183"/>
      <c r="AD44" s="174" t="s">
        <v>1152</v>
      </c>
      <c r="AE44" s="183" t="s">
        <v>1491</v>
      </c>
      <c r="AF44" s="183" t="s">
        <v>1549</v>
      </c>
      <c r="AG44" s="183"/>
      <c r="AH44" s="183"/>
      <c r="AI44" s="185"/>
      <c r="AJ44" s="205"/>
      <c r="AK44" s="205"/>
      <c r="AL44" s="205"/>
      <c r="AM44" s="205"/>
      <c r="AN44" s="205"/>
      <c r="AO44" s="183"/>
      <c r="AP44" s="183"/>
      <c r="AQ44" s="183"/>
      <c r="AR44" s="183"/>
      <c r="AS44" s="183"/>
      <c r="AT44" s="183"/>
      <c r="AU44" s="183"/>
      <c r="AV44" s="183"/>
      <c r="AW44" s="185"/>
    </row>
    <row r="45" spans="1:58" x14ac:dyDescent="0.2">
      <c r="A45" s="213"/>
      <c r="B45" s="213"/>
      <c r="C45" s="213"/>
      <c r="D45" s="213"/>
      <c r="E45" s="213"/>
      <c r="F45" s="213"/>
      <c r="G45" s="213"/>
      <c r="H45" s="213"/>
      <c r="I45" s="213"/>
      <c r="J45" s="213"/>
      <c r="K45" s="213"/>
      <c r="L45" s="213"/>
      <c r="M45" s="213"/>
      <c r="N45" s="213"/>
      <c r="O45" s="213"/>
      <c r="P45" s="213"/>
      <c r="Q45" s="213"/>
      <c r="R45" s="213"/>
      <c r="S45" s="213"/>
      <c r="T45" s="213"/>
      <c r="U45" s="213"/>
      <c r="V45" s="213"/>
      <c r="W45" s="213"/>
      <c r="X45" s="213"/>
      <c r="Y45" s="213"/>
      <c r="Z45" s="213"/>
      <c r="AA45" s="205"/>
      <c r="AB45" s="205"/>
      <c r="AC45" s="213"/>
      <c r="AD45" s="174" t="s">
        <v>1152</v>
      </c>
      <c r="AE45" s="183" t="s">
        <v>1080</v>
      </c>
      <c r="AF45" s="190" t="s">
        <v>1479</v>
      </c>
      <c r="AG45" s="213"/>
      <c r="AH45" s="213"/>
      <c r="AI45" s="183" t="s">
        <v>1547</v>
      </c>
      <c r="AJ45" s="205"/>
      <c r="AK45" s="205"/>
      <c r="AL45" s="205"/>
      <c r="AM45" s="205"/>
      <c r="AN45" s="205"/>
      <c r="AO45" s="183"/>
      <c r="AP45" s="183"/>
      <c r="AQ45" s="183"/>
      <c r="AR45" s="183"/>
      <c r="AS45" s="183"/>
      <c r="AT45" s="183"/>
      <c r="AU45" s="183"/>
      <c r="AV45" s="183"/>
      <c r="AW45" s="185"/>
    </row>
    <row r="46" spans="1:58" ht="76.5" x14ac:dyDescent="0.2">
      <c r="A46" s="171" t="s">
        <v>1416</v>
      </c>
      <c r="B46" s="171" t="s">
        <v>601</v>
      </c>
      <c r="C46" s="171" t="s">
        <v>507</v>
      </c>
      <c r="D46" s="172" t="s">
        <v>38</v>
      </c>
      <c r="E46" s="171" t="s">
        <v>514</v>
      </c>
      <c r="F46" s="171"/>
      <c r="G46" s="171"/>
      <c r="H46" s="171">
        <v>79325</v>
      </c>
      <c r="I46" s="171" t="s">
        <v>594</v>
      </c>
      <c r="J46" s="172" t="s">
        <v>757</v>
      </c>
      <c r="K46" s="171" t="s">
        <v>605</v>
      </c>
      <c r="L46" s="172" t="s">
        <v>608</v>
      </c>
      <c r="M46" s="172" t="s">
        <v>342</v>
      </c>
      <c r="N46" s="172" t="s">
        <v>628</v>
      </c>
      <c r="O46" s="172" t="s">
        <v>342</v>
      </c>
      <c r="P46" s="172">
        <v>44277</v>
      </c>
      <c r="Q46" s="171" t="s">
        <v>605</v>
      </c>
      <c r="R46" s="171" t="s">
        <v>605</v>
      </c>
      <c r="S46" s="172" t="s">
        <v>36</v>
      </c>
      <c r="T46" s="172" t="s">
        <v>1206</v>
      </c>
      <c r="U46" s="172" t="s">
        <v>1213</v>
      </c>
      <c r="V46" s="171" t="s">
        <v>605</v>
      </c>
      <c r="W46" s="171"/>
      <c r="X46" s="171" t="s">
        <v>1383</v>
      </c>
      <c r="Y46" s="171" t="s">
        <v>1168</v>
      </c>
      <c r="Z46" s="174" t="s">
        <v>1411</v>
      </c>
      <c r="AA46" s="175" t="s">
        <v>605</v>
      </c>
      <c r="AB46" s="200"/>
      <c r="AC46" s="174" t="str">
        <f t="shared" ref="AC46:AC59" si="7">V46</f>
        <v>workorderNumber</v>
      </c>
      <c r="AD46" s="174" t="s">
        <v>1410</v>
      </c>
      <c r="AE46" s="174" t="s">
        <v>608</v>
      </c>
      <c r="AF46" s="174" t="s">
        <v>1479</v>
      </c>
      <c r="AG46" s="174"/>
      <c r="AH46" s="174"/>
      <c r="AI46" s="176" t="s">
        <v>963</v>
      </c>
      <c r="AJ46" s="198" t="s">
        <v>1410</v>
      </c>
      <c r="AK46" s="177" t="s">
        <v>608</v>
      </c>
      <c r="AL46" s="177"/>
      <c r="AM46" s="198">
        <f>SUBTOTAL(9,H46:Y46)</f>
        <v>123602</v>
      </c>
      <c r="AN46" s="177" t="s">
        <v>963</v>
      </c>
      <c r="AO46" s="174"/>
      <c r="AP46" s="174"/>
      <c r="AQ46" s="174"/>
      <c r="AR46" s="174"/>
      <c r="AS46" s="174"/>
      <c r="AT46" s="174"/>
      <c r="AU46" s="174"/>
      <c r="AV46" s="174"/>
      <c r="AW46" s="176"/>
      <c r="AX46" s="37"/>
      <c r="AY46" s="37"/>
      <c r="AZ46" s="37"/>
      <c r="BA46" s="37"/>
      <c r="BB46" s="37"/>
      <c r="BC46" s="37"/>
      <c r="BD46" s="37"/>
      <c r="BE46" s="37"/>
      <c r="BF46" s="37"/>
    </row>
    <row r="47" spans="1:58" ht="15" x14ac:dyDescent="0.2">
      <c r="A47" s="171"/>
      <c r="B47" s="171"/>
      <c r="C47" s="171"/>
      <c r="D47" s="171"/>
      <c r="E47" s="171"/>
      <c r="F47" s="171"/>
      <c r="G47" s="171"/>
      <c r="H47" s="171"/>
      <c r="I47" s="171"/>
      <c r="J47" s="171"/>
      <c r="K47" s="171"/>
      <c r="L47" s="171"/>
      <c r="M47" s="171"/>
      <c r="N47" s="171"/>
      <c r="O47" s="171"/>
      <c r="P47" s="171"/>
      <c r="Q47" s="171"/>
      <c r="R47" s="210"/>
      <c r="S47" s="171"/>
      <c r="T47" s="171" t="s">
        <v>1206</v>
      </c>
      <c r="U47" s="171" t="s">
        <v>1222</v>
      </c>
      <c r="V47" s="171" t="s">
        <v>162</v>
      </c>
      <c r="W47" s="171" t="s">
        <v>162</v>
      </c>
      <c r="X47" s="171" t="s">
        <v>1383</v>
      </c>
      <c r="Y47" s="171" t="s">
        <v>1168</v>
      </c>
      <c r="Z47" s="174" t="s">
        <v>1012</v>
      </c>
      <c r="AA47" s="205" t="str">
        <f t="shared" ref="AA47:AA59" si="8">AC47</f>
        <v>date</v>
      </c>
      <c r="AB47" s="175"/>
      <c r="AC47" s="171" t="str">
        <f t="shared" si="7"/>
        <v>date</v>
      </c>
      <c r="AD47" s="174" t="s">
        <v>1150</v>
      </c>
      <c r="AE47" s="174" t="s">
        <v>1575</v>
      </c>
      <c r="AF47" s="174" t="s">
        <v>1479</v>
      </c>
      <c r="AG47" s="174" t="s">
        <v>1552</v>
      </c>
      <c r="AH47" s="174"/>
      <c r="AI47" s="176" t="s">
        <v>1584</v>
      </c>
      <c r="AJ47" s="177" t="s">
        <v>1150</v>
      </c>
      <c r="AK47" s="177" t="s">
        <v>1150</v>
      </c>
      <c r="AL47" s="177"/>
      <c r="AM47" s="177"/>
      <c r="AN47" s="177" t="s">
        <v>967</v>
      </c>
      <c r="AO47" s="174" t="str">
        <f t="shared" ref="AO47:AQ59" si="9">X47</f>
        <v>wfm_dm_v1</v>
      </c>
      <c r="AP47" s="174" t="str">
        <f t="shared" si="9"/>
        <v>dim</v>
      </c>
      <c r="AQ47" s="174" t="str">
        <f t="shared" si="9"/>
        <v>dCalendar</v>
      </c>
      <c r="AR47" s="174" t="str">
        <f t="shared" ref="AR47:AT59" si="10">AC47</f>
        <v>date</v>
      </c>
      <c r="AS47" s="174" t="str">
        <f t="shared" si="10"/>
        <v>Datum</v>
      </c>
      <c r="AT47" s="174" t="e">
        <f>#REF!</f>
        <v>#REF!</v>
      </c>
      <c r="AU47" s="174"/>
      <c r="AV47" s="174"/>
      <c r="AW47" s="176" t="str">
        <f t="shared" ref="AW47:AW59" si="11">AI47</f>
        <v xml:space="preserve">Datum_PBI is for certain PBI-visuals requiring specifik format, same conetn as datum. </v>
      </c>
      <c r="AX47" s="151" t="s">
        <v>1632</v>
      </c>
      <c r="AY47" s="151" t="s">
        <v>1168</v>
      </c>
      <c r="AZ47" s="151" t="s">
        <v>1012</v>
      </c>
      <c r="BA47" s="151" t="s">
        <v>1634</v>
      </c>
      <c r="BB47" s="151" t="s">
        <v>1150</v>
      </c>
      <c r="BC47" s="129" t="s">
        <v>1150</v>
      </c>
    </row>
    <row r="48" spans="1:58" ht="15" x14ac:dyDescent="0.2">
      <c r="A48" s="171"/>
      <c r="B48" s="171"/>
      <c r="C48" s="171"/>
      <c r="D48" s="171"/>
      <c r="E48" s="171"/>
      <c r="F48" s="171"/>
      <c r="G48" s="171"/>
      <c r="H48" s="171"/>
      <c r="I48" s="171"/>
      <c r="J48" s="171"/>
      <c r="K48" s="171"/>
      <c r="L48" s="171"/>
      <c r="M48" s="171"/>
      <c r="N48" s="171"/>
      <c r="O48" s="171"/>
      <c r="P48" s="171"/>
      <c r="Q48" s="171"/>
      <c r="R48" s="210"/>
      <c r="S48" s="171"/>
      <c r="T48" s="171" t="s">
        <v>1206</v>
      </c>
      <c r="U48" s="171" t="s">
        <v>1222</v>
      </c>
      <c r="V48" s="171" t="s">
        <v>257</v>
      </c>
      <c r="W48" s="171" t="s">
        <v>257</v>
      </c>
      <c r="X48" s="171" t="s">
        <v>1383</v>
      </c>
      <c r="Y48" s="171" t="s">
        <v>1168</v>
      </c>
      <c r="Z48" s="174" t="s">
        <v>1012</v>
      </c>
      <c r="AA48" s="205" t="str">
        <f t="shared" si="8"/>
        <v>year</v>
      </c>
      <c r="AB48" s="175"/>
      <c r="AC48" s="171" t="str">
        <f t="shared" si="7"/>
        <v>year</v>
      </c>
      <c r="AD48" s="174" t="s">
        <v>1150</v>
      </c>
      <c r="AE48" s="174" t="s">
        <v>1440</v>
      </c>
      <c r="AF48" s="174" t="s">
        <v>1479</v>
      </c>
      <c r="AG48" s="174"/>
      <c r="AH48" s="174"/>
      <c r="AI48" s="176"/>
      <c r="AJ48" s="177" t="s">
        <v>1150</v>
      </c>
      <c r="AK48" s="177" t="s">
        <v>963</v>
      </c>
      <c r="AL48" s="177"/>
      <c r="AM48" s="177"/>
      <c r="AN48" s="177" t="s">
        <v>1013</v>
      </c>
      <c r="AO48" s="174" t="str">
        <f t="shared" si="9"/>
        <v>wfm_dm_v1</v>
      </c>
      <c r="AP48" s="174" t="str">
        <f t="shared" si="9"/>
        <v>dim</v>
      </c>
      <c r="AQ48" s="174" t="str">
        <f t="shared" si="9"/>
        <v>dCalendar</v>
      </c>
      <c r="AR48" s="174" t="str">
        <f t="shared" si="10"/>
        <v>year</v>
      </c>
      <c r="AS48" s="174" t="str">
        <f t="shared" si="10"/>
        <v>Datum</v>
      </c>
      <c r="AT48" s="174" t="e">
        <f>#REF!</f>
        <v>#REF!</v>
      </c>
      <c r="AU48" s="174"/>
      <c r="AV48" s="174"/>
      <c r="AW48" s="176">
        <f t="shared" si="11"/>
        <v>0</v>
      </c>
      <c r="AX48" s="151" t="s">
        <v>1632</v>
      </c>
      <c r="AY48" s="151" t="s">
        <v>1168</v>
      </c>
      <c r="AZ48" s="151" t="s">
        <v>1012</v>
      </c>
      <c r="BA48" s="151" t="s">
        <v>257</v>
      </c>
      <c r="BB48" s="151" t="s">
        <v>1150</v>
      </c>
      <c r="BC48" s="129" t="s">
        <v>1440</v>
      </c>
    </row>
    <row r="49" spans="1:58" s="140" customFormat="1" ht="15" x14ac:dyDescent="0.2">
      <c r="A49" s="171"/>
      <c r="B49" s="171"/>
      <c r="C49" s="171"/>
      <c r="D49" s="171"/>
      <c r="E49" s="171"/>
      <c r="F49" s="171"/>
      <c r="G49" s="171"/>
      <c r="H49" s="171"/>
      <c r="I49" s="171"/>
      <c r="J49" s="171"/>
      <c r="K49" s="171"/>
      <c r="L49" s="171"/>
      <c r="M49" s="171"/>
      <c r="N49" s="171"/>
      <c r="O49" s="171"/>
      <c r="P49" s="171"/>
      <c r="Q49" s="171"/>
      <c r="R49" s="210"/>
      <c r="S49" s="171"/>
      <c r="T49" s="171" t="s">
        <v>1206</v>
      </c>
      <c r="U49" s="171" t="s">
        <v>1222</v>
      </c>
      <c r="V49" s="171" t="s">
        <v>1014</v>
      </c>
      <c r="W49" s="171" t="s">
        <v>1014</v>
      </c>
      <c r="X49" s="171" t="s">
        <v>1383</v>
      </c>
      <c r="Y49" s="171" t="s">
        <v>1168</v>
      </c>
      <c r="Z49" s="174" t="s">
        <v>1012</v>
      </c>
      <c r="AA49" s="205" t="str">
        <f t="shared" si="8"/>
        <v>quarter</v>
      </c>
      <c r="AB49" s="175"/>
      <c r="AC49" s="171" t="str">
        <f t="shared" si="7"/>
        <v>quarter</v>
      </c>
      <c r="AD49" s="174" t="s">
        <v>1150</v>
      </c>
      <c r="AE49" s="174" t="s">
        <v>1441</v>
      </c>
      <c r="AF49" s="174" t="s">
        <v>1479</v>
      </c>
      <c r="AG49" s="174"/>
      <c r="AH49" s="174"/>
      <c r="AI49" s="176" t="s">
        <v>963</v>
      </c>
      <c r="AJ49" s="177" t="s">
        <v>1150</v>
      </c>
      <c r="AK49" s="177" t="s">
        <v>963</v>
      </c>
      <c r="AL49" s="177"/>
      <c r="AM49" s="177"/>
      <c r="AN49" s="177" t="s">
        <v>963</v>
      </c>
      <c r="AO49" s="174" t="str">
        <f t="shared" si="9"/>
        <v>wfm_dm_v1</v>
      </c>
      <c r="AP49" s="174" t="str">
        <f t="shared" si="9"/>
        <v>dim</v>
      </c>
      <c r="AQ49" s="174" t="str">
        <f t="shared" si="9"/>
        <v>dCalendar</v>
      </c>
      <c r="AR49" s="174" t="str">
        <f t="shared" si="10"/>
        <v>quarter</v>
      </c>
      <c r="AS49" s="174" t="str">
        <f t="shared" si="10"/>
        <v>Datum</v>
      </c>
      <c r="AT49" s="174" t="e">
        <f>#REF!</f>
        <v>#REF!</v>
      </c>
      <c r="AU49" s="174"/>
      <c r="AV49" s="174"/>
      <c r="AW49" s="176" t="str">
        <f t="shared" si="11"/>
        <v/>
      </c>
      <c r="AX49" s="151" t="s">
        <v>1632</v>
      </c>
      <c r="AY49" s="151" t="s">
        <v>1168</v>
      </c>
      <c r="AZ49" s="151" t="s">
        <v>1012</v>
      </c>
      <c r="BA49" s="151" t="s">
        <v>1014</v>
      </c>
      <c r="BB49" s="151" t="s">
        <v>1150</v>
      </c>
      <c r="BC49" s="129" t="s">
        <v>1441</v>
      </c>
      <c r="BD49" s="130"/>
      <c r="BE49" s="130"/>
      <c r="BF49" s="130"/>
    </row>
    <row r="50" spans="1:58" ht="15" x14ac:dyDescent="0.2">
      <c r="A50" s="171"/>
      <c r="B50" s="171"/>
      <c r="C50" s="171"/>
      <c r="D50" s="171"/>
      <c r="E50" s="171"/>
      <c r="F50" s="171"/>
      <c r="G50" s="171"/>
      <c r="H50" s="171"/>
      <c r="I50" s="171"/>
      <c r="J50" s="171"/>
      <c r="K50" s="171"/>
      <c r="L50" s="171"/>
      <c r="M50" s="171"/>
      <c r="N50" s="171"/>
      <c r="O50" s="171"/>
      <c r="P50" s="171"/>
      <c r="Q50" s="180"/>
      <c r="R50" s="210"/>
      <c r="S50" s="171"/>
      <c r="T50" s="180" t="s">
        <v>1206</v>
      </c>
      <c r="U50" s="171" t="s">
        <v>1222</v>
      </c>
      <c r="V50" s="180" t="s">
        <v>258</v>
      </c>
      <c r="W50" s="171" t="s">
        <v>258</v>
      </c>
      <c r="X50" s="180" t="s">
        <v>1383</v>
      </c>
      <c r="Y50" s="171" t="s">
        <v>1168</v>
      </c>
      <c r="Z50" s="183" t="s">
        <v>1012</v>
      </c>
      <c r="AA50" s="205" t="str">
        <f t="shared" si="8"/>
        <v>month</v>
      </c>
      <c r="AB50" s="175"/>
      <c r="AC50" s="180" t="str">
        <f t="shared" si="7"/>
        <v>month</v>
      </c>
      <c r="AD50" s="183" t="s">
        <v>1150</v>
      </c>
      <c r="AE50" s="183" t="s">
        <v>258</v>
      </c>
      <c r="AF50" s="183" t="s">
        <v>1549</v>
      </c>
      <c r="AG50" s="183"/>
      <c r="AH50" s="183"/>
      <c r="AI50" s="185" t="s">
        <v>963</v>
      </c>
      <c r="AJ50" s="177" t="s">
        <v>1150</v>
      </c>
      <c r="AK50" s="177" t="s">
        <v>963</v>
      </c>
      <c r="AL50" s="177"/>
      <c r="AM50" s="177"/>
      <c r="AN50" s="177" t="s">
        <v>963</v>
      </c>
      <c r="AO50" s="183" t="str">
        <f t="shared" si="9"/>
        <v>wfm_dm_v1</v>
      </c>
      <c r="AP50" s="183" t="str">
        <f t="shared" si="9"/>
        <v>dim</v>
      </c>
      <c r="AQ50" s="183" t="str">
        <f t="shared" si="9"/>
        <v>dCalendar</v>
      </c>
      <c r="AR50" s="183" t="str">
        <f t="shared" si="10"/>
        <v>month</v>
      </c>
      <c r="AS50" s="183" t="str">
        <f t="shared" si="10"/>
        <v>Datum</v>
      </c>
      <c r="AT50" s="183" t="e">
        <f>#REF!</f>
        <v>#REF!</v>
      </c>
      <c r="AU50" s="183"/>
      <c r="AV50" s="183"/>
      <c r="AW50" s="185" t="str">
        <f t="shared" si="11"/>
        <v/>
      </c>
    </row>
    <row r="51" spans="1:58" ht="15" x14ac:dyDescent="0.2">
      <c r="A51" s="171"/>
      <c r="B51" s="171"/>
      <c r="C51" s="171"/>
      <c r="D51" s="171"/>
      <c r="E51" s="171"/>
      <c r="F51" s="171"/>
      <c r="G51" s="171"/>
      <c r="H51" s="171"/>
      <c r="I51" s="171"/>
      <c r="J51" s="171"/>
      <c r="K51" s="171"/>
      <c r="L51" s="171"/>
      <c r="M51" s="171"/>
      <c r="N51" s="171"/>
      <c r="O51" s="171"/>
      <c r="P51" s="171"/>
      <c r="Q51" s="171"/>
      <c r="R51" s="210"/>
      <c r="S51" s="171"/>
      <c r="T51" s="171" t="s">
        <v>1206</v>
      </c>
      <c r="U51" s="171" t="s">
        <v>1222</v>
      </c>
      <c r="V51" s="171" t="s">
        <v>1015</v>
      </c>
      <c r="W51" s="171" t="s">
        <v>1015</v>
      </c>
      <c r="X51" s="171" t="s">
        <v>1383</v>
      </c>
      <c r="Y51" s="171" t="s">
        <v>1168</v>
      </c>
      <c r="Z51" s="174" t="s">
        <v>1012</v>
      </c>
      <c r="AA51" s="205" t="str">
        <f t="shared" si="8"/>
        <v>monthName</v>
      </c>
      <c r="AB51" s="175"/>
      <c r="AC51" s="171" t="str">
        <f t="shared" si="7"/>
        <v>monthName</v>
      </c>
      <c r="AD51" s="174" t="s">
        <v>1150</v>
      </c>
      <c r="AE51" s="174" t="s">
        <v>1442</v>
      </c>
      <c r="AF51" s="174" t="s">
        <v>1479</v>
      </c>
      <c r="AG51" s="174"/>
      <c r="AH51" s="174"/>
      <c r="AI51" s="176" t="s">
        <v>1016</v>
      </c>
      <c r="AJ51" s="177" t="s">
        <v>1150</v>
      </c>
      <c r="AK51" s="177" t="s">
        <v>963</v>
      </c>
      <c r="AL51" s="177"/>
      <c r="AM51" s="177"/>
      <c r="AN51" s="177" t="s">
        <v>1016</v>
      </c>
      <c r="AO51" s="174" t="str">
        <f t="shared" si="9"/>
        <v>wfm_dm_v1</v>
      </c>
      <c r="AP51" s="174" t="str">
        <f t="shared" si="9"/>
        <v>dim</v>
      </c>
      <c r="AQ51" s="174" t="str">
        <f t="shared" si="9"/>
        <v>dCalendar</v>
      </c>
      <c r="AR51" s="174" t="str">
        <f t="shared" si="10"/>
        <v>monthName</v>
      </c>
      <c r="AS51" s="174" t="str">
        <f t="shared" si="10"/>
        <v>Datum</v>
      </c>
      <c r="AT51" s="174" t="e">
        <f>#REF!</f>
        <v>#REF!</v>
      </c>
      <c r="AU51" s="174"/>
      <c r="AV51" s="174"/>
      <c r="AW51" s="176" t="str">
        <f t="shared" si="11"/>
        <v>in SE</v>
      </c>
      <c r="AX51" s="151" t="s">
        <v>1632</v>
      </c>
      <c r="AY51" s="151" t="s">
        <v>1168</v>
      </c>
      <c r="AZ51" s="151" t="s">
        <v>1012</v>
      </c>
      <c r="BA51" s="151" t="s">
        <v>258</v>
      </c>
      <c r="BB51" s="151" t="s">
        <v>1150</v>
      </c>
      <c r="BC51" s="129" t="s">
        <v>1442</v>
      </c>
    </row>
    <row r="52" spans="1:58" ht="63.75" customHeight="1" x14ac:dyDescent="0.2">
      <c r="A52" s="171"/>
      <c r="B52" s="171"/>
      <c r="C52" s="171"/>
      <c r="D52" s="171"/>
      <c r="E52" s="171"/>
      <c r="F52" s="171"/>
      <c r="G52" s="171"/>
      <c r="H52" s="171"/>
      <c r="I52" s="171"/>
      <c r="J52" s="171"/>
      <c r="K52" s="171"/>
      <c r="L52" s="171"/>
      <c r="M52" s="171"/>
      <c r="N52" s="171"/>
      <c r="O52" s="171"/>
      <c r="P52" s="171"/>
      <c r="Q52" s="171"/>
      <c r="R52" s="210"/>
      <c r="S52" s="171"/>
      <c r="T52" s="171" t="s">
        <v>1206</v>
      </c>
      <c r="U52" s="171" t="s">
        <v>1222</v>
      </c>
      <c r="V52" s="171" t="s">
        <v>1017</v>
      </c>
      <c r="W52" s="171" t="s">
        <v>1017</v>
      </c>
      <c r="X52" s="171" t="s">
        <v>1383</v>
      </c>
      <c r="Y52" s="171" t="s">
        <v>1168</v>
      </c>
      <c r="Z52" s="174" t="s">
        <v>1012</v>
      </c>
      <c r="AA52" s="205" t="str">
        <f t="shared" si="8"/>
        <v>week</v>
      </c>
      <c r="AB52" s="175"/>
      <c r="AC52" s="171" t="str">
        <f t="shared" si="7"/>
        <v>week</v>
      </c>
      <c r="AD52" s="174" t="s">
        <v>1150</v>
      </c>
      <c r="AE52" s="174" t="s">
        <v>1495</v>
      </c>
      <c r="AF52" s="174" t="s">
        <v>1479</v>
      </c>
      <c r="AG52" s="174"/>
      <c r="AH52" s="174"/>
      <c r="AI52" s="176" t="s">
        <v>963</v>
      </c>
      <c r="AJ52" s="177" t="s">
        <v>1150</v>
      </c>
      <c r="AK52" s="177" t="s">
        <v>963</v>
      </c>
      <c r="AL52" s="177"/>
      <c r="AM52" s="177"/>
      <c r="AN52" s="177" t="s">
        <v>963</v>
      </c>
      <c r="AO52" s="174" t="str">
        <f t="shared" si="9"/>
        <v>wfm_dm_v1</v>
      </c>
      <c r="AP52" s="174" t="str">
        <f t="shared" si="9"/>
        <v>dim</v>
      </c>
      <c r="AQ52" s="174" t="str">
        <f t="shared" si="9"/>
        <v>dCalendar</v>
      </c>
      <c r="AR52" s="174" t="str">
        <f t="shared" si="10"/>
        <v>week</v>
      </c>
      <c r="AS52" s="174" t="str">
        <f t="shared" si="10"/>
        <v>Datum</v>
      </c>
      <c r="AT52" s="174" t="e">
        <f>#REF!</f>
        <v>#REF!</v>
      </c>
      <c r="AU52" s="174"/>
      <c r="AV52" s="174"/>
      <c r="AW52" s="176" t="str">
        <f t="shared" si="11"/>
        <v/>
      </c>
    </row>
    <row r="53" spans="1:58" ht="25.5" customHeight="1" x14ac:dyDescent="0.2">
      <c r="A53" s="171"/>
      <c r="B53" s="171"/>
      <c r="C53" s="171"/>
      <c r="D53" s="171"/>
      <c r="E53" s="171"/>
      <c r="F53" s="171"/>
      <c r="G53" s="171"/>
      <c r="H53" s="171"/>
      <c r="I53" s="171"/>
      <c r="J53" s="171"/>
      <c r="K53" s="171"/>
      <c r="L53" s="171"/>
      <c r="M53" s="171"/>
      <c r="N53" s="171"/>
      <c r="O53" s="171"/>
      <c r="P53" s="171"/>
      <c r="Q53" s="171"/>
      <c r="R53" s="210"/>
      <c r="S53" s="171"/>
      <c r="T53" s="171" t="s">
        <v>1206</v>
      </c>
      <c r="U53" s="171" t="s">
        <v>1222</v>
      </c>
      <c r="V53" s="171" t="s">
        <v>1018</v>
      </c>
      <c r="W53" s="171" t="s">
        <v>1018</v>
      </c>
      <c r="X53" s="171" t="s">
        <v>1383</v>
      </c>
      <c r="Y53" s="171" t="s">
        <v>1168</v>
      </c>
      <c r="Z53" s="174" t="s">
        <v>1012</v>
      </c>
      <c r="AA53" s="205" t="str">
        <f t="shared" si="8"/>
        <v>yearQuarter</v>
      </c>
      <c r="AB53" s="175"/>
      <c r="AC53" s="171" t="str">
        <f t="shared" si="7"/>
        <v>yearQuarter</v>
      </c>
      <c r="AD53" s="174" t="s">
        <v>1150</v>
      </c>
      <c r="AE53" s="174" t="s">
        <v>1443</v>
      </c>
      <c r="AF53" s="174" t="s">
        <v>1479</v>
      </c>
      <c r="AG53" s="174"/>
      <c r="AH53" s="174"/>
      <c r="AI53" s="176" t="s">
        <v>1019</v>
      </c>
      <c r="AJ53" s="177" t="s">
        <v>1150</v>
      </c>
      <c r="AK53" s="177" t="s">
        <v>963</v>
      </c>
      <c r="AL53" s="177"/>
      <c r="AM53" s="177"/>
      <c r="AN53" s="177" t="s">
        <v>1019</v>
      </c>
      <c r="AO53" s="174" t="str">
        <f t="shared" si="9"/>
        <v>wfm_dm_v1</v>
      </c>
      <c r="AP53" s="174" t="str">
        <f t="shared" si="9"/>
        <v>dim</v>
      </c>
      <c r="AQ53" s="174" t="str">
        <f t="shared" si="9"/>
        <v>dCalendar</v>
      </c>
      <c r="AR53" s="174" t="str">
        <f t="shared" si="10"/>
        <v>yearQuarter</v>
      </c>
      <c r="AS53" s="174" t="str">
        <f t="shared" si="10"/>
        <v>Datum</v>
      </c>
      <c r="AT53" s="174" t="e">
        <f>#REF!</f>
        <v>#REF!</v>
      </c>
      <c r="AU53" s="174"/>
      <c r="AV53" s="174"/>
      <c r="AW53" s="176" t="str">
        <f t="shared" si="11"/>
        <v>format YYQQ, example 21Q1</v>
      </c>
      <c r="AX53" s="151" t="s">
        <v>1632</v>
      </c>
      <c r="AY53" s="151" t="s">
        <v>1168</v>
      </c>
      <c r="AZ53" s="151" t="s">
        <v>1012</v>
      </c>
      <c r="BA53" s="151" t="s">
        <v>1018</v>
      </c>
      <c r="BB53" s="151" t="s">
        <v>1150</v>
      </c>
      <c r="BC53" s="129" t="s">
        <v>1637</v>
      </c>
    </row>
    <row r="54" spans="1:58" ht="15" x14ac:dyDescent="0.2">
      <c r="A54" s="171"/>
      <c r="B54" s="171"/>
      <c r="C54" s="171"/>
      <c r="D54" s="171"/>
      <c r="E54" s="171"/>
      <c r="F54" s="171"/>
      <c r="G54" s="171"/>
      <c r="H54" s="171"/>
      <c r="I54" s="171"/>
      <c r="J54" s="171"/>
      <c r="K54" s="171"/>
      <c r="L54" s="171"/>
      <c r="M54" s="171"/>
      <c r="N54" s="171"/>
      <c r="O54" s="171"/>
      <c r="P54" s="171"/>
      <c r="Q54" s="171"/>
      <c r="R54" s="210"/>
      <c r="S54" s="171"/>
      <c r="T54" s="171" t="s">
        <v>1206</v>
      </c>
      <c r="U54" s="171" t="s">
        <v>1222</v>
      </c>
      <c r="V54" s="171" t="s">
        <v>1020</v>
      </c>
      <c r="W54" s="171" t="s">
        <v>1020</v>
      </c>
      <c r="X54" s="171" t="s">
        <v>1383</v>
      </c>
      <c r="Y54" s="171" t="s">
        <v>1168</v>
      </c>
      <c r="Z54" s="174" t="s">
        <v>1012</v>
      </c>
      <c r="AA54" s="205" t="str">
        <f t="shared" si="8"/>
        <v>yearMonth</v>
      </c>
      <c r="AB54" s="175"/>
      <c r="AC54" s="171" t="str">
        <f t="shared" si="7"/>
        <v>yearMonth</v>
      </c>
      <c r="AD54" s="174" t="s">
        <v>1150</v>
      </c>
      <c r="AE54" s="174" t="s">
        <v>1111</v>
      </c>
      <c r="AF54" s="174" t="s">
        <v>1479</v>
      </c>
      <c r="AG54" s="174"/>
      <c r="AH54" s="174"/>
      <c r="AI54" s="176" t="s">
        <v>1021</v>
      </c>
      <c r="AJ54" s="177" t="s">
        <v>1150</v>
      </c>
      <c r="AK54" s="177" t="s">
        <v>1111</v>
      </c>
      <c r="AL54" s="177"/>
      <c r="AM54" s="177"/>
      <c r="AN54" s="177" t="s">
        <v>1021</v>
      </c>
      <c r="AO54" s="174" t="str">
        <f t="shared" si="9"/>
        <v>wfm_dm_v1</v>
      </c>
      <c r="AP54" s="174" t="str">
        <f t="shared" si="9"/>
        <v>dim</v>
      </c>
      <c r="AQ54" s="174" t="str">
        <f t="shared" si="9"/>
        <v>dCalendar</v>
      </c>
      <c r="AR54" s="174" t="str">
        <f t="shared" si="10"/>
        <v>yearMonth</v>
      </c>
      <c r="AS54" s="174" t="str">
        <f t="shared" si="10"/>
        <v>Datum</v>
      </c>
      <c r="AT54" s="174" t="str">
        <f t="shared" si="10"/>
        <v>År &amp; månad</v>
      </c>
      <c r="AU54" s="174"/>
      <c r="AV54" s="174"/>
      <c r="AW54" s="176" t="str">
        <f t="shared" si="11"/>
        <v>format YYMM, example 2109, 2111</v>
      </c>
      <c r="AX54" s="151" t="s">
        <v>1632</v>
      </c>
      <c r="AY54" s="151" t="s">
        <v>1168</v>
      </c>
      <c r="AZ54" s="151" t="s">
        <v>1012</v>
      </c>
      <c r="BA54" s="151" t="s">
        <v>1140</v>
      </c>
      <c r="BB54" s="151" t="s">
        <v>1150</v>
      </c>
      <c r="BC54" s="129" t="s">
        <v>1332</v>
      </c>
      <c r="BE54" s="140"/>
      <c r="BF54" s="140"/>
    </row>
    <row r="55" spans="1:58" ht="15" x14ac:dyDescent="0.2">
      <c r="A55" s="171"/>
      <c r="B55" s="171"/>
      <c r="C55" s="171"/>
      <c r="D55" s="171"/>
      <c r="E55" s="171"/>
      <c r="F55" s="171"/>
      <c r="G55" s="171"/>
      <c r="H55" s="171"/>
      <c r="I55" s="171"/>
      <c r="J55" s="171"/>
      <c r="K55" s="171"/>
      <c r="L55" s="171"/>
      <c r="M55" s="171"/>
      <c r="N55" s="171"/>
      <c r="O55" s="171"/>
      <c r="P55" s="171"/>
      <c r="Q55" s="171"/>
      <c r="R55" s="210"/>
      <c r="S55" s="171"/>
      <c r="T55" s="171" t="s">
        <v>1206</v>
      </c>
      <c r="U55" s="171" t="s">
        <v>1222</v>
      </c>
      <c r="V55" s="171" t="s">
        <v>1022</v>
      </c>
      <c r="W55" s="171" t="s">
        <v>1022</v>
      </c>
      <c r="X55" s="171" t="s">
        <v>1383</v>
      </c>
      <c r="Y55" s="171" t="s">
        <v>1168</v>
      </c>
      <c r="Z55" s="174" t="s">
        <v>1012</v>
      </c>
      <c r="AA55" s="205" t="str">
        <f t="shared" si="8"/>
        <v>yearWeek</v>
      </c>
      <c r="AB55" s="175"/>
      <c r="AC55" s="171" t="str">
        <f t="shared" si="7"/>
        <v>yearWeek</v>
      </c>
      <c r="AD55" s="174" t="s">
        <v>1150</v>
      </c>
      <c r="AE55" s="174" t="s">
        <v>1110</v>
      </c>
      <c r="AF55" s="174" t="s">
        <v>1479</v>
      </c>
      <c r="AG55" s="174"/>
      <c r="AH55" s="174"/>
      <c r="AI55" s="176" t="s">
        <v>1023</v>
      </c>
      <c r="AJ55" s="177" t="s">
        <v>1150</v>
      </c>
      <c r="AK55" s="177" t="s">
        <v>1110</v>
      </c>
      <c r="AL55" s="177"/>
      <c r="AM55" s="177"/>
      <c r="AN55" s="177" t="s">
        <v>1023</v>
      </c>
      <c r="AO55" s="174" t="str">
        <f t="shared" si="9"/>
        <v>wfm_dm_v1</v>
      </c>
      <c r="AP55" s="174" t="str">
        <f t="shared" si="9"/>
        <v>dim</v>
      </c>
      <c r="AQ55" s="174" t="str">
        <f t="shared" si="9"/>
        <v>dCalendar</v>
      </c>
      <c r="AR55" s="174" t="str">
        <f t="shared" si="10"/>
        <v>yearWeek</v>
      </c>
      <c r="AS55" s="174" t="str">
        <f t="shared" si="10"/>
        <v>Datum</v>
      </c>
      <c r="AT55" s="174" t="str">
        <f t="shared" si="10"/>
        <v>År &amp; vecka</v>
      </c>
      <c r="AU55" s="174"/>
      <c r="AV55" s="174"/>
      <c r="AW55" s="176" t="str">
        <f t="shared" si="11"/>
        <v>format YYWW, example 2101, 2135</v>
      </c>
      <c r="AX55" s="151" t="s">
        <v>1632</v>
      </c>
      <c r="AY55" s="151" t="s">
        <v>1168</v>
      </c>
      <c r="AZ55" s="151" t="s">
        <v>1012</v>
      </c>
      <c r="BA55" s="151" t="s">
        <v>1109</v>
      </c>
      <c r="BB55" s="151" t="s">
        <v>1150</v>
      </c>
      <c r="BC55" s="129" t="s">
        <v>1636</v>
      </c>
      <c r="BE55" s="140"/>
      <c r="BF55" s="140"/>
    </row>
    <row r="56" spans="1:58" ht="15" customHeight="1" x14ac:dyDescent="0.25">
      <c r="A56" s="211"/>
      <c r="B56" s="211"/>
      <c r="C56" s="211"/>
      <c r="D56" s="211"/>
      <c r="E56" s="211"/>
      <c r="F56" s="211"/>
      <c r="G56" s="211"/>
      <c r="H56" s="211"/>
      <c r="I56" s="211"/>
      <c r="J56" s="211"/>
      <c r="K56" s="211"/>
      <c r="L56" s="211"/>
      <c r="M56" s="211"/>
      <c r="N56" s="211"/>
      <c r="O56" s="211"/>
      <c r="P56" s="211"/>
      <c r="Q56" s="200"/>
      <c r="R56" s="212"/>
      <c r="S56" s="211"/>
      <c r="T56" s="200" t="s">
        <v>1206</v>
      </c>
      <c r="U56" s="211" t="s">
        <v>1222</v>
      </c>
      <c r="V56" s="200" t="s">
        <v>1024</v>
      </c>
      <c r="W56" s="211" t="s">
        <v>1024</v>
      </c>
      <c r="X56" s="200" t="s">
        <v>1383</v>
      </c>
      <c r="Y56" s="211" t="s">
        <v>1168</v>
      </c>
      <c r="Z56" s="175" t="s">
        <v>1012</v>
      </c>
      <c r="AA56" s="205" t="str">
        <f t="shared" si="8"/>
        <v>day</v>
      </c>
      <c r="AB56" s="175"/>
      <c r="AC56" s="200" t="str">
        <f t="shared" si="7"/>
        <v>day</v>
      </c>
      <c r="AD56" s="175" t="s">
        <v>1150</v>
      </c>
      <c r="AE56" s="175" t="s">
        <v>1444</v>
      </c>
      <c r="AF56" s="175" t="s">
        <v>1549</v>
      </c>
      <c r="AG56" s="175"/>
      <c r="AH56" s="175"/>
      <c r="AI56" s="177" t="s">
        <v>963</v>
      </c>
      <c r="AJ56" s="177" t="s">
        <v>1150</v>
      </c>
      <c r="AK56" s="177"/>
      <c r="AL56" s="177"/>
      <c r="AM56" s="177"/>
      <c r="AN56" s="177" t="s">
        <v>963</v>
      </c>
      <c r="AO56" s="175" t="str">
        <f t="shared" si="9"/>
        <v>wfm_dm_v1</v>
      </c>
      <c r="AP56" s="175" t="str">
        <f t="shared" si="9"/>
        <v>dim</v>
      </c>
      <c r="AQ56" s="175" t="str">
        <f t="shared" si="9"/>
        <v>dCalendar</v>
      </c>
      <c r="AR56" s="175" t="str">
        <f t="shared" si="10"/>
        <v>day</v>
      </c>
      <c r="AS56" s="175" t="str">
        <f t="shared" si="10"/>
        <v>Datum</v>
      </c>
      <c r="AT56" s="175" t="str">
        <f t="shared" si="10"/>
        <v>Dag</v>
      </c>
      <c r="AU56" s="175"/>
      <c r="AV56" s="175"/>
      <c r="AW56" s="177" t="str">
        <f t="shared" si="11"/>
        <v/>
      </c>
      <c r="AX56" s="140"/>
      <c r="AY56" s="140"/>
      <c r="AZ56" s="140"/>
      <c r="BA56" s="140"/>
      <c r="BB56" s="140"/>
      <c r="BC56" s="140"/>
      <c r="BE56" s="140"/>
      <c r="BF56" s="140"/>
    </row>
    <row r="57" spans="1:58" ht="15" x14ac:dyDescent="0.2">
      <c r="A57" s="171"/>
      <c r="B57" s="171"/>
      <c r="C57" s="171"/>
      <c r="D57" s="171"/>
      <c r="E57" s="171"/>
      <c r="F57" s="171"/>
      <c r="G57" s="171"/>
      <c r="H57" s="171"/>
      <c r="I57" s="171"/>
      <c r="J57" s="171"/>
      <c r="K57" s="171"/>
      <c r="L57" s="171"/>
      <c r="M57" s="171"/>
      <c r="N57" s="171"/>
      <c r="O57" s="171"/>
      <c r="P57" s="171"/>
      <c r="Q57" s="171"/>
      <c r="R57" s="210"/>
      <c r="S57" s="171"/>
      <c r="T57" s="171" t="s">
        <v>1206</v>
      </c>
      <c r="U57" s="171" t="s">
        <v>1222</v>
      </c>
      <c r="V57" s="171" t="s">
        <v>1025</v>
      </c>
      <c r="W57" s="171" t="s">
        <v>1025</v>
      </c>
      <c r="X57" s="171" t="s">
        <v>1383</v>
      </c>
      <c r="Y57" s="171" t="s">
        <v>1168</v>
      </c>
      <c r="Z57" s="174" t="s">
        <v>1012</v>
      </c>
      <c r="AA57" s="205" t="str">
        <f t="shared" si="8"/>
        <v>dayName</v>
      </c>
      <c r="AB57" s="175"/>
      <c r="AC57" s="171" t="str">
        <f t="shared" si="7"/>
        <v>dayName</v>
      </c>
      <c r="AD57" s="174" t="s">
        <v>1150</v>
      </c>
      <c r="AE57" s="174" t="s">
        <v>1286</v>
      </c>
      <c r="AF57" s="174" t="s">
        <v>1479</v>
      </c>
      <c r="AG57" s="174"/>
      <c r="AH57" s="174"/>
      <c r="AI57" s="176" t="s">
        <v>1016</v>
      </c>
      <c r="AJ57" s="177" t="s">
        <v>1150</v>
      </c>
      <c r="AK57" s="177" t="s">
        <v>1286</v>
      </c>
      <c r="AL57" s="177"/>
      <c r="AM57" s="177"/>
      <c r="AN57" s="177" t="s">
        <v>1016</v>
      </c>
      <c r="AO57" s="174" t="str">
        <f t="shared" si="9"/>
        <v>wfm_dm_v1</v>
      </c>
      <c r="AP57" s="174" t="str">
        <f t="shared" si="9"/>
        <v>dim</v>
      </c>
      <c r="AQ57" s="174" t="str">
        <f t="shared" si="9"/>
        <v>dCalendar</v>
      </c>
      <c r="AR57" s="174" t="str">
        <f t="shared" si="10"/>
        <v>dayName</v>
      </c>
      <c r="AS57" s="174" t="str">
        <f t="shared" si="10"/>
        <v>Datum</v>
      </c>
      <c r="AT57" s="174" t="str">
        <f t="shared" si="10"/>
        <v>Veckodag</v>
      </c>
      <c r="AU57" s="174"/>
      <c r="AV57" s="174"/>
      <c r="AW57" s="176" t="str">
        <f t="shared" si="11"/>
        <v>in SE</v>
      </c>
      <c r="AX57" s="151" t="s">
        <v>1632</v>
      </c>
      <c r="AY57" s="151" t="s">
        <v>1168</v>
      </c>
      <c r="AZ57" s="151" t="s">
        <v>1012</v>
      </c>
      <c r="BA57" s="151" t="s">
        <v>1025</v>
      </c>
      <c r="BB57" s="151" t="s">
        <v>1150</v>
      </c>
      <c r="BC57" s="129" t="s">
        <v>1286</v>
      </c>
      <c r="BE57" s="140"/>
      <c r="BF57" s="140"/>
    </row>
    <row r="58" spans="1:58" ht="15" x14ac:dyDescent="0.2">
      <c r="A58" s="171"/>
      <c r="B58" s="171"/>
      <c r="C58" s="171"/>
      <c r="D58" s="171"/>
      <c r="E58" s="171"/>
      <c r="F58" s="171"/>
      <c r="G58" s="171"/>
      <c r="H58" s="171"/>
      <c r="I58" s="171"/>
      <c r="J58" s="171"/>
      <c r="K58" s="171"/>
      <c r="L58" s="171"/>
      <c r="M58" s="171"/>
      <c r="N58" s="171"/>
      <c r="O58" s="171"/>
      <c r="P58" s="171"/>
      <c r="Q58" s="180"/>
      <c r="R58" s="210"/>
      <c r="S58" s="171"/>
      <c r="T58" s="180" t="s">
        <v>1206</v>
      </c>
      <c r="U58" s="171" t="s">
        <v>1222</v>
      </c>
      <c r="V58" s="180" t="s">
        <v>1026</v>
      </c>
      <c r="W58" s="171" t="s">
        <v>1026</v>
      </c>
      <c r="X58" s="180" t="s">
        <v>1383</v>
      </c>
      <c r="Y58" s="171" t="s">
        <v>1168</v>
      </c>
      <c r="Z58" s="183" t="s">
        <v>1012</v>
      </c>
      <c r="AA58" s="205" t="str">
        <f t="shared" si="8"/>
        <v>dayofWeek</v>
      </c>
      <c r="AB58" s="175"/>
      <c r="AC58" s="180" t="str">
        <f t="shared" si="7"/>
        <v>dayofWeek</v>
      </c>
      <c r="AD58" s="183" t="s">
        <v>1150</v>
      </c>
      <c r="AE58" s="183" t="s">
        <v>1522</v>
      </c>
      <c r="AF58" s="183" t="s">
        <v>1549</v>
      </c>
      <c r="AG58" s="183"/>
      <c r="AH58" s="183"/>
      <c r="AI58" s="185" t="s">
        <v>963</v>
      </c>
      <c r="AJ58" s="177" t="s">
        <v>1150</v>
      </c>
      <c r="AK58" s="177" t="s">
        <v>963</v>
      </c>
      <c r="AL58" s="177"/>
      <c r="AM58" s="177"/>
      <c r="AN58" s="177" t="s">
        <v>963</v>
      </c>
      <c r="AO58" s="183" t="str">
        <f t="shared" si="9"/>
        <v>wfm_dm_v1</v>
      </c>
      <c r="AP58" s="183" t="str">
        <f t="shared" si="9"/>
        <v>dim</v>
      </c>
      <c r="AQ58" s="183" t="str">
        <f t="shared" si="9"/>
        <v>dCalendar</v>
      </c>
      <c r="AR58" s="183" t="str">
        <f t="shared" si="10"/>
        <v>dayofWeek</v>
      </c>
      <c r="AS58" s="183" t="str">
        <f t="shared" si="10"/>
        <v>Datum</v>
      </c>
      <c r="AT58" s="183" t="str">
        <f t="shared" si="10"/>
        <v>dayOfWeek</v>
      </c>
      <c r="AU58" s="183"/>
      <c r="AV58" s="183"/>
      <c r="AW58" s="185" t="str">
        <f t="shared" si="11"/>
        <v/>
      </c>
    </row>
    <row r="59" spans="1:58" ht="15" x14ac:dyDescent="0.2">
      <c r="A59" s="171"/>
      <c r="B59" s="171"/>
      <c r="C59" s="171"/>
      <c r="D59" s="171"/>
      <c r="E59" s="171"/>
      <c r="F59" s="171"/>
      <c r="G59" s="171"/>
      <c r="H59" s="171"/>
      <c r="I59" s="171"/>
      <c r="J59" s="171"/>
      <c r="K59" s="171"/>
      <c r="L59" s="171"/>
      <c r="M59" s="171"/>
      <c r="N59" s="171"/>
      <c r="O59" s="171"/>
      <c r="P59" s="171"/>
      <c r="Q59" s="180"/>
      <c r="R59" s="210"/>
      <c r="S59" s="171"/>
      <c r="T59" s="180" t="s">
        <v>1206</v>
      </c>
      <c r="U59" s="171" t="s">
        <v>1222</v>
      </c>
      <c r="V59" s="180" t="s">
        <v>1027</v>
      </c>
      <c r="W59" s="171" t="s">
        <v>1027</v>
      </c>
      <c r="X59" s="180" t="s">
        <v>1383</v>
      </c>
      <c r="Y59" s="171" t="s">
        <v>1168</v>
      </c>
      <c r="Z59" s="183" t="s">
        <v>1012</v>
      </c>
      <c r="AA59" s="205" t="str">
        <f t="shared" si="8"/>
        <v>dayofYear</v>
      </c>
      <c r="AB59" s="175"/>
      <c r="AC59" s="180" t="str">
        <f t="shared" si="7"/>
        <v>dayofYear</v>
      </c>
      <c r="AD59" s="183" t="s">
        <v>1150</v>
      </c>
      <c r="AE59" s="183" t="s">
        <v>1523</v>
      </c>
      <c r="AF59" s="183" t="s">
        <v>1549</v>
      </c>
      <c r="AG59" s="183"/>
      <c r="AH59" s="183"/>
      <c r="AI59" s="183" t="s">
        <v>963</v>
      </c>
      <c r="AJ59" s="177" t="s">
        <v>1150</v>
      </c>
      <c r="AK59" s="177" t="s">
        <v>963</v>
      </c>
      <c r="AL59" s="177"/>
      <c r="AM59" s="177"/>
      <c r="AN59" s="177" t="s">
        <v>963</v>
      </c>
      <c r="AO59" s="183" t="str">
        <f t="shared" si="9"/>
        <v>wfm_dm_v1</v>
      </c>
      <c r="AP59" s="183" t="str">
        <f t="shared" si="9"/>
        <v>dim</v>
      </c>
      <c r="AQ59" s="183" t="str">
        <f t="shared" si="9"/>
        <v>dCalendar</v>
      </c>
      <c r="AR59" s="183" t="str">
        <f t="shared" si="10"/>
        <v>dayofYear</v>
      </c>
      <c r="AS59" s="183" t="str">
        <f t="shared" si="10"/>
        <v>Datum</v>
      </c>
      <c r="AT59" s="183" t="str">
        <f t="shared" si="10"/>
        <v>dayOfYear</v>
      </c>
      <c r="AU59" s="183"/>
      <c r="AV59" s="183"/>
      <c r="AW59" s="185" t="str">
        <f t="shared" si="11"/>
        <v/>
      </c>
    </row>
    <row r="60" spans="1:58" x14ac:dyDescent="0.2">
      <c r="A60" s="174"/>
      <c r="B60" s="174"/>
      <c r="C60" s="174"/>
      <c r="D60" s="174"/>
      <c r="E60" s="174"/>
      <c r="F60" s="174"/>
      <c r="G60" s="174"/>
      <c r="H60" s="174"/>
      <c r="I60" s="174"/>
      <c r="J60" s="174"/>
      <c r="K60" s="174"/>
      <c r="L60" s="174"/>
      <c r="M60" s="174"/>
      <c r="N60" s="174"/>
      <c r="O60" s="174"/>
      <c r="P60" s="174"/>
      <c r="Q60" s="174"/>
      <c r="R60" s="174"/>
      <c r="S60" s="174"/>
      <c r="T60" s="180" t="s">
        <v>1206</v>
      </c>
      <c r="U60" s="171" t="s">
        <v>1222</v>
      </c>
      <c r="V60" s="174" t="s">
        <v>1020</v>
      </c>
      <c r="W60" s="171" t="s">
        <v>1020</v>
      </c>
      <c r="X60" s="180" t="s">
        <v>1383</v>
      </c>
      <c r="Y60" s="174" t="s">
        <v>1168</v>
      </c>
      <c r="Z60" s="183" t="s">
        <v>1012</v>
      </c>
      <c r="AA60" s="205"/>
      <c r="AB60" s="205"/>
      <c r="AC60" s="171" t="s">
        <v>1020</v>
      </c>
      <c r="AD60" s="174" t="s">
        <v>1150</v>
      </c>
      <c r="AE60" s="174" t="s">
        <v>1445</v>
      </c>
      <c r="AF60" s="174" t="s">
        <v>1479</v>
      </c>
      <c r="AG60" s="183"/>
      <c r="AH60" s="174"/>
      <c r="AI60" s="176" t="s">
        <v>1548</v>
      </c>
      <c r="AJ60" s="205"/>
      <c r="AK60" s="205"/>
      <c r="AL60" s="205"/>
      <c r="AM60" s="205"/>
      <c r="AN60" s="205"/>
      <c r="AO60" s="174"/>
      <c r="AP60" s="174"/>
      <c r="AQ60" s="174"/>
      <c r="AR60" s="174"/>
      <c r="AS60" s="174"/>
      <c r="AT60" s="174"/>
      <c r="AU60" s="174"/>
      <c r="AV60" s="174"/>
      <c r="AW60" s="176"/>
      <c r="AX60" s="129"/>
      <c r="AY60" s="129"/>
      <c r="AZ60" s="129"/>
      <c r="BA60" s="129"/>
      <c r="BB60" s="129"/>
      <c r="BC60" s="129"/>
      <c r="BD60" s="129"/>
      <c r="BE60" s="129"/>
      <c r="BF60" s="129"/>
    </row>
    <row r="61" spans="1:58" x14ac:dyDescent="0.2">
      <c r="A61" s="183"/>
      <c r="B61" s="183"/>
      <c r="C61" s="183"/>
      <c r="D61" s="183"/>
      <c r="E61" s="183"/>
      <c r="F61" s="183"/>
      <c r="G61" s="183"/>
      <c r="H61" s="183"/>
      <c r="I61" s="183"/>
      <c r="J61" s="183"/>
      <c r="K61" s="183"/>
      <c r="L61" s="183"/>
      <c r="M61" s="183"/>
      <c r="N61" s="183"/>
      <c r="O61" s="183"/>
      <c r="P61" s="183"/>
      <c r="Q61" s="183"/>
      <c r="R61" s="183"/>
      <c r="S61" s="183"/>
      <c r="T61" s="180" t="s">
        <v>1206</v>
      </c>
      <c r="U61" s="171" t="s">
        <v>1222</v>
      </c>
      <c r="V61" s="183" t="s">
        <v>1025</v>
      </c>
      <c r="W61" s="183" t="s">
        <v>1473</v>
      </c>
      <c r="X61" s="180" t="s">
        <v>1383</v>
      </c>
      <c r="Y61" s="183" t="s">
        <v>1168</v>
      </c>
      <c r="Z61" s="183" t="s">
        <v>1012</v>
      </c>
      <c r="AA61" s="205"/>
      <c r="AB61" s="205"/>
      <c r="AC61" s="183" t="s">
        <v>1473</v>
      </c>
      <c r="AD61" s="174" t="s">
        <v>1150</v>
      </c>
      <c r="AE61" s="183" t="s">
        <v>1473</v>
      </c>
      <c r="AF61" s="183" t="s">
        <v>1549</v>
      </c>
      <c r="AG61" s="183"/>
      <c r="AH61" s="183"/>
      <c r="AI61" s="185"/>
      <c r="AJ61" s="205"/>
      <c r="AK61" s="205"/>
      <c r="AL61" s="205"/>
      <c r="AM61" s="205"/>
      <c r="AN61" s="205"/>
      <c r="AO61" s="183"/>
      <c r="AP61" s="183"/>
      <c r="AQ61" s="183"/>
      <c r="AR61" s="183"/>
      <c r="AS61" s="183"/>
      <c r="AT61" s="183"/>
      <c r="AU61" s="183"/>
      <c r="AV61" s="183"/>
      <c r="AW61" s="185"/>
    </row>
    <row r="62" spans="1:58" x14ac:dyDescent="0.2">
      <c r="A62" s="183"/>
      <c r="B62" s="183"/>
      <c r="C62" s="183"/>
      <c r="D62" s="183"/>
      <c r="E62" s="183"/>
      <c r="F62" s="183"/>
      <c r="G62" s="183"/>
      <c r="H62" s="183"/>
      <c r="I62" s="183"/>
      <c r="J62" s="183"/>
      <c r="K62" s="183"/>
      <c r="L62" s="183"/>
      <c r="M62" s="183"/>
      <c r="N62" s="183"/>
      <c r="O62" s="183"/>
      <c r="P62" s="183"/>
      <c r="Q62" s="183"/>
      <c r="R62" s="183"/>
      <c r="S62" s="183"/>
      <c r="T62" s="180" t="s">
        <v>1206</v>
      </c>
      <c r="U62" s="171" t="s">
        <v>1222</v>
      </c>
      <c r="V62" s="183" t="s">
        <v>1493</v>
      </c>
      <c r="W62" s="183" t="s">
        <v>1493</v>
      </c>
      <c r="X62" s="180" t="s">
        <v>1383</v>
      </c>
      <c r="Y62" s="183" t="s">
        <v>1168</v>
      </c>
      <c r="Z62" s="183" t="s">
        <v>1012</v>
      </c>
      <c r="AA62" s="205"/>
      <c r="AB62" s="205"/>
      <c r="AC62" s="183" t="s">
        <v>1493</v>
      </c>
      <c r="AD62" s="174" t="s">
        <v>1150</v>
      </c>
      <c r="AE62" s="183" t="s">
        <v>1493</v>
      </c>
      <c r="AF62" s="183" t="s">
        <v>1549</v>
      </c>
      <c r="AG62" s="183"/>
      <c r="AH62" s="183"/>
      <c r="AI62" s="185"/>
      <c r="AJ62" s="205"/>
      <c r="AK62" s="205"/>
      <c r="AL62" s="205"/>
      <c r="AM62" s="205"/>
      <c r="AN62" s="205"/>
      <c r="AO62" s="183"/>
      <c r="AP62" s="183"/>
      <c r="AQ62" s="183"/>
      <c r="AR62" s="183"/>
      <c r="AS62" s="183"/>
      <c r="AT62" s="183"/>
      <c r="AU62" s="183"/>
      <c r="AV62" s="183"/>
      <c r="AW62" s="185"/>
    </row>
    <row r="63" spans="1:58" x14ac:dyDescent="0.2">
      <c r="A63" s="183"/>
      <c r="B63" s="183"/>
      <c r="C63" s="183"/>
      <c r="D63" s="183"/>
      <c r="E63" s="183"/>
      <c r="F63" s="183"/>
      <c r="G63" s="183"/>
      <c r="H63" s="183"/>
      <c r="I63" s="183"/>
      <c r="J63" s="183"/>
      <c r="K63" s="183"/>
      <c r="L63" s="183"/>
      <c r="M63" s="183"/>
      <c r="N63" s="183"/>
      <c r="O63" s="183"/>
      <c r="P63" s="183"/>
      <c r="Q63" s="183"/>
      <c r="R63" s="183"/>
      <c r="S63" s="183"/>
      <c r="T63" s="180" t="s">
        <v>1206</v>
      </c>
      <c r="U63" s="171" t="s">
        <v>1222</v>
      </c>
      <c r="V63" s="183" t="s">
        <v>1494</v>
      </c>
      <c r="W63" s="183" t="s">
        <v>1494</v>
      </c>
      <c r="X63" s="180" t="s">
        <v>1383</v>
      </c>
      <c r="Y63" s="183" t="s">
        <v>1168</v>
      </c>
      <c r="Z63" s="183" t="s">
        <v>1012</v>
      </c>
      <c r="AA63" s="205"/>
      <c r="AB63" s="205"/>
      <c r="AC63" s="183" t="s">
        <v>1494</v>
      </c>
      <c r="AD63" s="174" t="s">
        <v>1150</v>
      </c>
      <c r="AE63" s="183" t="s">
        <v>1494</v>
      </c>
      <c r="AF63" s="183" t="s">
        <v>1549</v>
      </c>
      <c r="AG63" s="183"/>
      <c r="AH63" s="183"/>
      <c r="AI63" s="185"/>
      <c r="AJ63" s="205"/>
      <c r="AK63" s="205"/>
      <c r="AL63" s="205"/>
      <c r="AM63" s="205"/>
      <c r="AN63" s="205"/>
      <c r="AO63" s="183"/>
      <c r="AP63" s="183"/>
      <c r="AQ63" s="183"/>
      <c r="AR63" s="183"/>
      <c r="AS63" s="183"/>
      <c r="AT63" s="183"/>
      <c r="AU63" s="183"/>
      <c r="AV63" s="183"/>
      <c r="AW63" s="185"/>
    </row>
    <row r="64" spans="1:58" ht="38.25" x14ac:dyDescent="0.2">
      <c r="A64" s="171" t="s">
        <v>1416</v>
      </c>
      <c r="B64" s="171" t="s">
        <v>652</v>
      </c>
      <c r="C64" s="171" t="s">
        <v>507</v>
      </c>
      <c r="D64" s="172" t="s">
        <v>754</v>
      </c>
      <c r="E64" s="171" t="s">
        <v>660</v>
      </c>
      <c r="F64" s="172" t="s">
        <v>922</v>
      </c>
      <c r="G64" s="171" t="s">
        <v>661</v>
      </c>
      <c r="H64" s="178">
        <v>43535</v>
      </c>
      <c r="I64" s="172" t="s">
        <v>626</v>
      </c>
      <c r="J64" s="171" t="s">
        <v>754</v>
      </c>
      <c r="K64" s="171" t="s">
        <v>636</v>
      </c>
      <c r="L64" s="171" t="s">
        <v>678</v>
      </c>
      <c r="M64" s="171" t="s">
        <v>661</v>
      </c>
      <c r="N64" s="172" t="s">
        <v>735</v>
      </c>
      <c r="O64" s="172" t="s">
        <v>342</v>
      </c>
      <c r="P64" s="173">
        <v>44306</v>
      </c>
      <c r="Q64" s="171" t="s">
        <v>636</v>
      </c>
      <c r="R64" s="171" t="s">
        <v>636</v>
      </c>
      <c r="S64" s="172"/>
      <c r="T64" s="171" t="s">
        <v>1206</v>
      </c>
      <c r="U64" s="171" t="s">
        <v>1207</v>
      </c>
      <c r="V64" s="171" t="s">
        <v>987</v>
      </c>
      <c r="W64" s="171"/>
      <c r="X64" s="171" t="s">
        <v>1383</v>
      </c>
      <c r="Y64" s="171" t="s">
        <v>1168</v>
      </c>
      <c r="Z64" s="174" t="s">
        <v>1000</v>
      </c>
      <c r="AA64" s="175"/>
      <c r="AB64" s="175" t="s">
        <v>1405</v>
      </c>
      <c r="AC64" s="174" t="str">
        <f t="shared" ref="AC64:AC70" si="12">V64</f>
        <v>activeFromDate</v>
      </c>
      <c r="AD64" s="174" t="s">
        <v>1405</v>
      </c>
      <c r="AE64" s="174" t="s">
        <v>678</v>
      </c>
      <c r="AF64" s="174" t="s">
        <v>1479</v>
      </c>
      <c r="AG64" s="174"/>
      <c r="AH64" s="174"/>
      <c r="AI64" s="176" t="s">
        <v>963</v>
      </c>
      <c r="AJ64" s="177" t="s">
        <v>1405</v>
      </c>
      <c r="AK64" s="177" t="s">
        <v>678</v>
      </c>
      <c r="AL64" s="177"/>
      <c r="AM64" s="177"/>
      <c r="AN64" s="177" t="s">
        <v>963</v>
      </c>
      <c r="AO64" s="174"/>
      <c r="AP64" s="174"/>
      <c r="AQ64" s="174"/>
      <c r="AR64" s="174"/>
      <c r="AS64" s="174"/>
      <c r="AT64" s="174"/>
      <c r="AU64" s="174"/>
      <c r="AV64" s="174"/>
      <c r="AW64" s="176"/>
    </row>
    <row r="65" spans="1:55" ht="25.5" x14ac:dyDescent="0.2">
      <c r="A65" s="171" t="s">
        <v>1416</v>
      </c>
      <c r="B65" s="171" t="s">
        <v>652</v>
      </c>
      <c r="C65" s="171" t="s">
        <v>507</v>
      </c>
      <c r="D65" s="172" t="s">
        <v>754</v>
      </c>
      <c r="E65" s="171" t="s">
        <v>910</v>
      </c>
      <c r="F65" s="172" t="s">
        <v>923</v>
      </c>
      <c r="G65" s="171" t="s">
        <v>661</v>
      </c>
      <c r="H65" s="178">
        <v>43535</v>
      </c>
      <c r="I65" s="172" t="s">
        <v>626</v>
      </c>
      <c r="J65" s="171" t="s">
        <v>754</v>
      </c>
      <c r="K65" s="171" t="s">
        <v>637</v>
      </c>
      <c r="L65" s="171" t="s">
        <v>679</v>
      </c>
      <c r="M65" s="171" t="s">
        <v>661</v>
      </c>
      <c r="N65" s="172" t="s">
        <v>736</v>
      </c>
      <c r="O65" s="172" t="s">
        <v>342</v>
      </c>
      <c r="P65" s="173">
        <v>44306</v>
      </c>
      <c r="Q65" s="171" t="s">
        <v>637</v>
      </c>
      <c r="R65" s="171" t="s">
        <v>637</v>
      </c>
      <c r="S65" s="172"/>
      <c r="T65" s="171" t="s">
        <v>1206</v>
      </c>
      <c r="U65" s="171" t="s">
        <v>1207</v>
      </c>
      <c r="V65" s="171" t="s">
        <v>988</v>
      </c>
      <c r="W65" s="171"/>
      <c r="X65" s="171" t="s">
        <v>1383</v>
      </c>
      <c r="Y65" s="171" t="s">
        <v>1168</v>
      </c>
      <c r="Z65" s="174" t="s">
        <v>1000</v>
      </c>
      <c r="AA65" s="175"/>
      <c r="AB65" s="175" t="s">
        <v>1405</v>
      </c>
      <c r="AC65" s="174" t="str">
        <f t="shared" si="12"/>
        <v>activeToDate</v>
      </c>
      <c r="AD65" s="174" t="s">
        <v>1405</v>
      </c>
      <c r="AE65" s="174" t="s">
        <v>679</v>
      </c>
      <c r="AF65" s="174" t="s">
        <v>1479</v>
      </c>
      <c r="AG65" s="174"/>
      <c r="AH65" s="174"/>
      <c r="AI65" s="176" t="s">
        <v>963</v>
      </c>
      <c r="AJ65" s="177" t="s">
        <v>1405</v>
      </c>
      <c r="AK65" s="177" t="s">
        <v>679</v>
      </c>
      <c r="AL65" s="177"/>
      <c r="AM65" s="177"/>
      <c r="AN65" s="177" t="s">
        <v>963</v>
      </c>
      <c r="AO65" s="174"/>
      <c r="AP65" s="174"/>
      <c r="AQ65" s="174"/>
      <c r="AR65" s="174"/>
      <c r="AS65" s="174"/>
      <c r="AT65" s="174"/>
      <c r="AU65" s="174"/>
      <c r="AV65" s="174"/>
      <c r="AW65" s="176"/>
    </row>
    <row r="66" spans="1:55" ht="102" x14ac:dyDescent="0.2">
      <c r="A66" s="171" t="s">
        <v>1416</v>
      </c>
      <c r="B66" s="171" t="s">
        <v>652</v>
      </c>
      <c r="C66" s="171" t="s">
        <v>507</v>
      </c>
      <c r="D66" s="172" t="s">
        <v>754</v>
      </c>
      <c r="E66" s="171" t="s">
        <v>664</v>
      </c>
      <c r="F66" s="172" t="s">
        <v>924</v>
      </c>
      <c r="G66" s="171"/>
      <c r="H66" s="172" t="s">
        <v>691</v>
      </c>
      <c r="I66" s="172" t="s">
        <v>626</v>
      </c>
      <c r="J66" s="171" t="s">
        <v>754</v>
      </c>
      <c r="K66" s="171" t="s">
        <v>606</v>
      </c>
      <c r="L66" s="171" t="s">
        <v>525</v>
      </c>
      <c r="M66" s="171" t="s">
        <v>342</v>
      </c>
      <c r="N66" s="172" t="s">
        <v>756</v>
      </c>
      <c r="O66" s="172" t="s">
        <v>342</v>
      </c>
      <c r="P66" s="173">
        <v>44306</v>
      </c>
      <c r="Q66" s="171" t="s">
        <v>1001</v>
      </c>
      <c r="R66" s="171" t="s">
        <v>1001</v>
      </c>
      <c r="S66" s="172" t="s">
        <v>36</v>
      </c>
      <c r="T66" s="171" t="s">
        <v>1206</v>
      </c>
      <c r="U66" s="171" t="s">
        <v>1207</v>
      </c>
      <c r="V66" s="171" t="s">
        <v>606</v>
      </c>
      <c r="W66" s="171"/>
      <c r="X66" s="171" t="s">
        <v>1383</v>
      </c>
      <c r="Y66" s="171" t="s">
        <v>1168</v>
      </c>
      <c r="Z66" s="174" t="s">
        <v>1000</v>
      </c>
      <c r="AA66" s="175"/>
      <c r="AB66" s="175" t="s">
        <v>1405</v>
      </c>
      <c r="AC66" s="174" t="str">
        <f t="shared" si="12"/>
        <v>customerNumber</v>
      </c>
      <c r="AD66" s="174" t="s">
        <v>1405</v>
      </c>
      <c r="AE66" s="174" t="s">
        <v>525</v>
      </c>
      <c r="AF66" s="174" t="s">
        <v>1479</v>
      </c>
      <c r="AG66" s="174"/>
      <c r="AH66" s="174"/>
      <c r="AI66" s="176" t="s">
        <v>963</v>
      </c>
      <c r="AJ66" s="177" t="s">
        <v>1405</v>
      </c>
      <c r="AK66" s="177" t="s">
        <v>525</v>
      </c>
      <c r="AL66" s="177"/>
      <c r="AM66" s="177"/>
      <c r="AN66" s="177" t="s">
        <v>963</v>
      </c>
      <c r="AO66" s="174"/>
      <c r="AP66" s="174"/>
      <c r="AQ66" s="174"/>
      <c r="AR66" s="174"/>
      <c r="AS66" s="174"/>
      <c r="AT66" s="174"/>
      <c r="AU66" s="174"/>
      <c r="AV66" s="174"/>
      <c r="AW66" s="176"/>
    </row>
    <row r="67" spans="1:55" x14ac:dyDescent="0.2">
      <c r="A67" s="171" t="s">
        <v>1416</v>
      </c>
      <c r="B67" s="171" t="s">
        <v>652</v>
      </c>
      <c r="C67" s="171" t="s">
        <v>507</v>
      </c>
      <c r="D67" s="172" t="s">
        <v>754</v>
      </c>
      <c r="E67" s="171" t="s">
        <v>665</v>
      </c>
      <c r="F67" s="172" t="s">
        <v>912</v>
      </c>
      <c r="G67" s="171"/>
      <c r="H67" s="172" t="s">
        <v>692</v>
      </c>
      <c r="I67" s="172" t="s">
        <v>626</v>
      </c>
      <c r="J67" s="171" t="s">
        <v>754</v>
      </c>
      <c r="K67" s="171" t="s">
        <v>764</v>
      </c>
      <c r="L67" s="171" t="s">
        <v>696</v>
      </c>
      <c r="M67" s="171" t="s">
        <v>342</v>
      </c>
      <c r="N67" s="172" t="s">
        <v>755</v>
      </c>
      <c r="O67" s="172" t="s">
        <v>342</v>
      </c>
      <c r="P67" s="173">
        <v>44306</v>
      </c>
      <c r="Q67" s="171" t="s">
        <v>1002</v>
      </c>
      <c r="R67" s="171" t="s">
        <v>1002</v>
      </c>
      <c r="S67" s="172"/>
      <c r="T67" s="171" t="s">
        <v>1206</v>
      </c>
      <c r="U67" s="171" t="s">
        <v>1207</v>
      </c>
      <c r="V67" s="171" t="s">
        <v>1003</v>
      </c>
      <c r="W67" s="171"/>
      <c r="X67" s="171" t="s">
        <v>1383</v>
      </c>
      <c r="Y67" s="171" t="s">
        <v>1168</v>
      </c>
      <c r="Z67" s="174" t="s">
        <v>1000</v>
      </c>
      <c r="AA67" s="175"/>
      <c r="AB67" s="175" t="s">
        <v>1405</v>
      </c>
      <c r="AC67" s="174" t="str">
        <f t="shared" si="12"/>
        <v>customerName</v>
      </c>
      <c r="AD67" s="174" t="s">
        <v>1405</v>
      </c>
      <c r="AE67" s="174" t="s">
        <v>696</v>
      </c>
      <c r="AF67" s="174" t="s">
        <v>1479</v>
      </c>
      <c r="AG67" s="174"/>
      <c r="AH67" s="174"/>
      <c r="AI67" s="176" t="s">
        <v>963</v>
      </c>
      <c r="AJ67" s="177" t="s">
        <v>1405</v>
      </c>
      <c r="AK67" s="177" t="s">
        <v>696</v>
      </c>
      <c r="AL67" s="177"/>
      <c r="AM67" s="177"/>
      <c r="AN67" s="177" t="s">
        <v>963</v>
      </c>
      <c r="AO67" s="174"/>
      <c r="AP67" s="174"/>
      <c r="AQ67" s="174"/>
      <c r="AR67" s="174"/>
      <c r="AS67" s="174"/>
      <c r="AT67" s="174"/>
      <c r="AU67" s="174"/>
      <c r="AV67" s="174"/>
      <c r="AW67" s="176"/>
    </row>
    <row r="68" spans="1:55" ht="38.25" x14ac:dyDescent="0.2">
      <c r="A68" s="171" t="s">
        <v>1416</v>
      </c>
      <c r="B68" s="171" t="s">
        <v>652</v>
      </c>
      <c r="C68" s="171" t="s">
        <v>507</v>
      </c>
      <c r="D68" s="172" t="s">
        <v>754</v>
      </c>
      <c r="E68" s="171" t="s">
        <v>759</v>
      </c>
      <c r="F68" s="172" t="s">
        <v>925</v>
      </c>
      <c r="G68" s="171"/>
      <c r="H68" s="172" t="s">
        <v>655</v>
      </c>
      <c r="I68" s="172" t="s">
        <v>626</v>
      </c>
      <c r="J68" s="171" t="s">
        <v>754</v>
      </c>
      <c r="K68" s="172" t="s">
        <v>760</v>
      </c>
      <c r="L68" s="171" t="s">
        <v>765</v>
      </c>
      <c r="M68" s="171" t="s">
        <v>342</v>
      </c>
      <c r="N68" s="172" t="s">
        <v>766</v>
      </c>
      <c r="O68" s="172" t="s">
        <v>342</v>
      </c>
      <c r="P68" s="173">
        <v>44306</v>
      </c>
      <c r="Q68" s="171" t="s">
        <v>1004</v>
      </c>
      <c r="R68" s="171" t="s">
        <v>1004</v>
      </c>
      <c r="S68" s="172"/>
      <c r="T68" s="171" t="s">
        <v>1206</v>
      </c>
      <c r="U68" s="171" t="s">
        <v>1207</v>
      </c>
      <c r="V68" s="171" t="s">
        <v>1005</v>
      </c>
      <c r="W68" s="171"/>
      <c r="X68" s="171" t="s">
        <v>1383</v>
      </c>
      <c r="Y68" s="171" t="s">
        <v>1168</v>
      </c>
      <c r="Z68" s="174" t="s">
        <v>1000</v>
      </c>
      <c r="AA68" s="175"/>
      <c r="AB68" s="175" t="s">
        <v>1405</v>
      </c>
      <c r="AC68" s="174" t="str">
        <f t="shared" si="12"/>
        <v>customerCategory</v>
      </c>
      <c r="AD68" s="174" t="s">
        <v>1405</v>
      </c>
      <c r="AE68" s="174" t="s">
        <v>655</v>
      </c>
      <c r="AF68" s="174" t="s">
        <v>1479</v>
      </c>
      <c r="AG68" s="174"/>
      <c r="AH68" s="174"/>
      <c r="AI68" s="176" t="s">
        <v>1496</v>
      </c>
      <c r="AJ68" s="177" t="s">
        <v>1405</v>
      </c>
      <c r="AK68" s="177" t="s">
        <v>765</v>
      </c>
      <c r="AL68" s="177"/>
      <c r="AM68" s="177"/>
      <c r="AN68" s="177" t="s">
        <v>963</v>
      </c>
      <c r="AO68" s="174"/>
      <c r="AP68" s="174"/>
      <c r="AQ68" s="174"/>
      <c r="AR68" s="174"/>
      <c r="AS68" s="174"/>
      <c r="AT68" s="174"/>
      <c r="AU68" s="174"/>
      <c r="AV68" s="174"/>
      <c r="AW68" s="176"/>
    </row>
    <row r="69" spans="1:55" ht="127.5" customHeight="1" x14ac:dyDescent="0.2">
      <c r="A69" s="171" t="s">
        <v>1416</v>
      </c>
      <c r="B69" s="171" t="s">
        <v>652</v>
      </c>
      <c r="C69" s="171" t="s">
        <v>507</v>
      </c>
      <c r="D69" s="172" t="s">
        <v>754</v>
      </c>
      <c r="E69" s="171" t="s">
        <v>663</v>
      </c>
      <c r="F69" s="172" t="s">
        <v>926</v>
      </c>
      <c r="G69" s="171"/>
      <c r="H69" s="172" t="s">
        <v>693</v>
      </c>
      <c r="I69" s="172" t="s">
        <v>626</v>
      </c>
      <c r="J69" s="171" t="s">
        <v>754</v>
      </c>
      <c r="K69" s="171" t="s">
        <v>761</v>
      </c>
      <c r="L69" s="171" t="s">
        <v>763</v>
      </c>
      <c r="M69" s="171" t="s">
        <v>342</v>
      </c>
      <c r="N69" s="172" t="s">
        <v>753</v>
      </c>
      <c r="O69" s="172" t="s">
        <v>342</v>
      </c>
      <c r="P69" s="173">
        <v>44306</v>
      </c>
      <c r="Q69" s="171" t="s">
        <v>1006</v>
      </c>
      <c r="R69" s="171" t="s">
        <v>1006</v>
      </c>
      <c r="S69" s="172"/>
      <c r="T69" s="171" t="s">
        <v>1206</v>
      </c>
      <c r="U69" s="171" t="s">
        <v>1207</v>
      </c>
      <c r="V69" s="171" t="s">
        <v>1007</v>
      </c>
      <c r="W69" s="171"/>
      <c r="X69" s="171" t="s">
        <v>1383</v>
      </c>
      <c r="Y69" s="171" t="s">
        <v>1168</v>
      </c>
      <c r="Z69" s="174" t="s">
        <v>1000</v>
      </c>
      <c r="AA69" s="175"/>
      <c r="AB69" s="175" t="s">
        <v>1405</v>
      </c>
      <c r="AC69" s="174" t="str">
        <f t="shared" si="12"/>
        <v>customerGroupName</v>
      </c>
      <c r="AD69" s="174" t="s">
        <v>1405</v>
      </c>
      <c r="AE69" s="174" t="s">
        <v>763</v>
      </c>
      <c r="AF69" s="174" t="s">
        <v>1479</v>
      </c>
      <c r="AG69" s="174"/>
      <c r="AH69" s="174"/>
      <c r="AI69" s="176" t="s">
        <v>963</v>
      </c>
      <c r="AJ69" s="177" t="s">
        <v>1405</v>
      </c>
      <c r="AK69" s="177" t="s">
        <v>763</v>
      </c>
      <c r="AL69" s="177"/>
      <c r="AM69" s="177"/>
      <c r="AN69" s="177" t="s">
        <v>963</v>
      </c>
      <c r="AO69" s="174"/>
      <c r="AP69" s="174"/>
      <c r="AQ69" s="174"/>
      <c r="AR69" s="174"/>
      <c r="AS69" s="174"/>
      <c r="AT69" s="174"/>
      <c r="AU69" s="174"/>
      <c r="AV69" s="174"/>
      <c r="AW69" s="176"/>
    </row>
    <row r="70" spans="1:55" ht="51" x14ac:dyDescent="0.2">
      <c r="A70" s="180" t="s">
        <v>1416</v>
      </c>
      <c r="B70" s="180" t="s">
        <v>652</v>
      </c>
      <c r="C70" s="180" t="s">
        <v>507</v>
      </c>
      <c r="D70" s="181" t="s">
        <v>754</v>
      </c>
      <c r="E70" s="180" t="s">
        <v>662</v>
      </c>
      <c r="F70" s="181" t="s">
        <v>912</v>
      </c>
      <c r="G70" s="180"/>
      <c r="H70" s="181" t="s">
        <v>694</v>
      </c>
      <c r="I70" s="181" t="s">
        <v>626</v>
      </c>
      <c r="J70" s="180" t="s">
        <v>754</v>
      </c>
      <c r="K70" s="180" t="s">
        <v>762</v>
      </c>
      <c r="L70" s="180" t="s">
        <v>332</v>
      </c>
      <c r="M70" s="180" t="s">
        <v>342</v>
      </c>
      <c r="N70" s="181" t="s">
        <v>695</v>
      </c>
      <c r="O70" s="181" t="s">
        <v>342</v>
      </c>
      <c r="P70" s="182">
        <v>44306</v>
      </c>
      <c r="Q70" s="180" t="s">
        <v>1008</v>
      </c>
      <c r="R70" s="180" t="s">
        <v>1008</v>
      </c>
      <c r="S70" s="181" t="s">
        <v>36</v>
      </c>
      <c r="T70" s="180" t="s">
        <v>1206</v>
      </c>
      <c r="U70" s="180" t="s">
        <v>1207</v>
      </c>
      <c r="V70" s="180" t="s">
        <v>1009</v>
      </c>
      <c r="W70" s="180"/>
      <c r="X70" s="180" t="s">
        <v>1383</v>
      </c>
      <c r="Y70" s="180" t="s">
        <v>1168</v>
      </c>
      <c r="Z70" s="183" t="s">
        <v>1000</v>
      </c>
      <c r="AA70" s="175"/>
      <c r="AB70" s="175" t="s">
        <v>1405</v>
      </c>
      <c r="AC70" s="183" t="str">
        <f t="shared" si="12"/>
        <v>customerGroupKey</v>
      </c>
      <c r="AD70" s="183" t="s">
        <v>1405</v>
      </c>
      <c r="AE70" s="183" t="s">
        <v>1009</v>
      </c>
      <c r="AF70" s="183" t="s">
        <v>1549</v>
      </c>
      <c r="AG70" s="183"/>
      <c r="AH70" s="183"/>
      <c r="AI70" s="185" t="s">
        <v>1010</v>
      </c>
      <c r="AJ70" s="177" t="s">
        <v>1405</v>
      </c>
      <c r="AK70" s="177" t="s">
        <v>332</v>
      </c>
      <c r="AL70" s="177"/>
      <c r="AM70" s="177"/>
      <c r="AN70" s="177" t="s">
        <v>1010</v>
      </c>
      <c r="AO70" s="183"/>
      <c r="AP70" s="183"/>
      <c r="AQ70" s="183"/>
      <c r="AR70" s="183"/>
      <c r="AS70" s="183"/>
      <c r="AT70" s="183"/>
      <c r="AU70" s="183"/>
      <c r="AV70" s="183"/>
      <c r="AW70" s="185"/>
    </row>
    <row r="71" spans="1:55" x14ac:dyDescent="0.2">
      <c r="A71" s="213"/>
      <c r="B71" s="213"/>
      <c r="C71" s="213"/>
      <c r="D71" s="213"/>
      <c r="E71" s="213"/>
      <c r="F71" s="213"/>
      <c r="G71" s="213"/>
      <c r="H71" s="213"/>
      <c r="I71" s="213"/>
      <c r="J71" s="213"/>
      <c r="K71" s="213"/>
      <c r="L71" s="213"/>
      <c r="M71" s="213"/>
      <c r="N71" s="213"/>
      <c r="O71" s="213"/>
      <c r="P71" s="213"/>
      <c r="Q71" s="213"/>
      <c r="R71" s="213"/>
      <c r="S71" s="213"/>
      <c r="T71" s="213"/>
      <c r="U71" s="213"/>
      <c r="V71" s="213"/>
      <c r="W71" s="213"/>
      <c r="X71" s="213"/>
      <c r="Y71" s="213"/>
      <c r="Z71" s="213"/>
      <c r="AA71" s="205"/>
      <c r="AB71" s="205"/>
      <c r="AC71" s="213"/>
      <c r="AD71" s="213" t="s">
        <v>1639</v>
      </c>
      <c r="AE71" s="213" t="s">
        <v>1662</v>
      </c>
      <c r="AF71" s="213" t="s">
        <v>1479</v>
      </c>
      <c r="AG71" s="213"/>
      <c r="AH71" s="213" t="s">
        <v>1663</v>
      </c>
      <c r="AI71" s="192"/>
      <c r="AJ71" s="205"/>
      <c r="AK71" s="205"/>
      <c r="AL71" s="205"/>
      <c r="AM71" s="205"/>
      <c r="AN71" s="205"/>
      <c r="AO71" s="183"/>
      <c r="AP71" s="183"/>
      <c r="AQ71" s="183"/>
      <c r="AR71" s="183"/>
      <c r="AS71" s="183"/>
      <c r="AT71" s="183"/>
      <c r="AU71" s="183"/>
      <c r="AV71" s="183"/>
      <c r="AW71" s="185"/>
      <c r="AX71" s="151"/>
      <c r="AY71" s="151"/>
      <c r="AZ71" s="151"/>
      <c r="BA71" s="151"/>
      <c r="BB71" s="151" t="s">
        <v>1639</v>
      </c>
      <c r="BC71" s="151" t="s">
        <v>1662</v>
      </c>
    </row>
    <row r="72" spans="1:55" x14ac:dyDescent="0.2">
      <c r="A72" s="213"/>
      <c r="B72" s="213"/>
      <c r="C72" s="213"/>
      <c r="D72" s="213"/>
      <c r="E72" s="213"/>
      <c r="F72" s="213"/>
      <c r="G72" s="213"/>
      <c r="H72" s="213"/>
      <c r="I72" s="213"/>
      <c r="J72" s="213"/>
      <c r="K72" s="213"/>
      <c r="L72" s="213"/>
      <c r="M72" s="213"/>
      <c r="N72" s="213"/>
      <c r="O72" s="213"/>
      <c r="P72" s="213"/>
      <c r="Q72" s="213"/>
      <c r="R72" s="213"/>
      <c r="S72" s="213"/>
      <c r="T72" s="213"/>
      <c r="U72" s="213"/>
      <c r="V72" s="213"/>
      <c r="W72" s="213"/>
      <c r="X72" s="213"/>
      <c r="Y72" s="213"/>
      <c r="Z72" s="213"/>
      <c r="AA72" s="205"/>
      <c r="AB72" s="205"/>
      <c r="AC72" s="213"/>
      <c r="AD72" s="213" t="s">
        <v>1639</v>
      </c>
      <c r="AE72" s="213" t="s">
        <v>1664</v>
      </c>
      <c r="AF72" s="213" t="s">
        <v>1479</v>
      </c>
      <c r="AG72" s="213"/>
      <c r="AH72" s="213" t="s">
        <v>1665</v>
      </c>
      <c r="AI72" s="192"/>
      <c r="AJ72" s="205"/>
      <c r="AK72" s="205"/>
      <c r="AL72" s="205"/>
      <c r="AM72" s="205"/>
      <c r="AN72" s="205"/>
      <c r="AO72" s="183"/>
      <c r="AP72" s="183"/>
      <c r="AQ72" s="183"/>
      <c r="AR72" s="183"/>
      <c r="AS72" s="183"/>
      <c r="AT72" s="183"/>
      <c r="AU72" s="183"/>
      <c r="AV72" s="183"/>
      <c r="AW72" s="185"/>
      <c r="AX72" s="151"/>
      <c r="AY72" s="151"/>
      <c r="AZ72" s="151"/>
      <c r="BA72" s="151"/>
      <c r="BB72" s="151" t="s">
        <v>1639</v>
      </c>
      <c r="BC72" s="151" t="s">
        <v>1664</v>
      </c>
    </row>
    <row r="73" spans="1:55" x14ac:dyDescent="0.2">
      <c r="A73" s="213"/>
      <c r="B73" s="213"/>
      <c r="C73" s="213"/>
      <c r="D73" s="213"/>
      <c r="E73" s="213"/>
      <c r="F73" s="213"/>
      <c r="G73" s="213"/>
      <c r="H73" s="213"/>
      <c r="I73" s="213"/>
      <c r="J73" s="213"/>
      <c r="K73" s="213"/>
      <c r="L73" s="213"/>
      <c r="M73" s="213"/>
      <c r="N73" s="213"/>
      <c r="O73" s="213"/>
      <c r="P73" s="213"/>
      <c r="Q73" s="213"/>
      <c r="R73" s="213"/>
      <c r="S73" s="213"/>
      <c r="T73" s="213"/>
      <c r="U73" s="213"/>
      <c r="V73" s="213"/>
      <c r="W73" s="213"/>
      <c r="X73" s="213"/>
      <c r="Y73" s="213"/>
      <c r="Z73" s="213"/>
      <c r="AA73" s="205"/>
      <c r="AB73" s="205"/>
      <c r="AC73" s="213"/>
      <c r="AD73" s="213" t="s">
        <v>1639</v>
      </c>
      <c r="AE73" s="213" t="s">
        <v>1666</v>
      </c>
      <c r="AF73" s="213" t="s">
        <v>1479</v>
      </c>
      <c r="AG73" s="213"/>
      <c r="AH73" s="213" t="s">
        <v>1667</v>
      </c>
      <c r="AI73" s="192"/>
      <c r="AJ73" s="205"/>
      <c r="AK73" s="205"/>
      <c r="AL73" s="205"/>
      <c r="AM73" s="205"/>
      <c r="AN73" s="205"/>
      <c r="AO73" s="183"/>
      <c r="AP73" s="183"/>
      <c r="AQ73" s="183"/>
      <c r="AR73" s="183"/>
      <c r="AS73" s="183"/>
      <c r="AT73" s="183"/>
      <c r="AU73" s="183"/>
      <c r="AV73" s="183"/>
      <c r="AW73" s="185"/>
      <c r="AX73" s="151"/>
      <c r="AY73" s="151"/>
      <c r="AZ73" s="151"/>
      <c r="BA73" s="151"/>
      <c r="BB73" s="151" t="s">
        <v>1639</v>
      </c>
      <c r="BC73" s="151" t="s">
        <v>1666</v>
      </c>
    </row>
    <row r="74" spans="1:55" x14ac:dyDescent="0.2">
      <c r="A74" s="213"/>
      <c r="B74" s="213"/>
      <c r="C74" s="213"/>
      <c r="D74" s="213"/>
      <c r="E74" s="213"/>
      <c r="F74" s="213"/>
      <c r="G74" s="213"/>
      <c r="H74" s="213"/>
      <c r="I74" s="213"/>
      <c r="J74" s="213"/>
      <c r="K74" s="213"/>
      <c r="L74" s="213"/>
      <c r="M74" s="213"/>
      <c r="N74" s="213"/>
      <c r="O74" s="213"/>
      <c r="P74" s="213"/>
      <c r="Q74" s="213"/>
      <c r="R74" s="213"/>
      <c r="S74" s="213"/>
      <c r="T74" s="213"/>
      <c r="U74" s="213"/>
      <c r="V74" s="213"/>
      <c r="W74" s="213"/>
      <c r="X74" s="213"/>
      <c r="Y74" s="213"/>
      <c r="Z74" s="213"/>
      <c r="AA74" s="205"/>
      <c r="AB74" s="205"/>
      <c r="AC74" s="213"/>
      <c r="AD74" s="213" t="s">
        <v>1639</v>
      </c>
      <c r="AE74" s="213" t="s">
        <v>1668</v>
      </c>
      <c r="AF74" s="213" t="s">
        <v>1479</v>
      </c>
      <c r="AG74" s="213"/>
      <c r="AH74" s="213" t="s">
        <v>1669</v>
      </c>
      <c r="AI74" s="192"/>
      <c r="AJ74" s="205"/>
      <c r="AK74" s="205"/>
      <c r="AL74" s="205"/>
      <c r="AM74" s="205"/>
      <c r="AN74" s="205"/>
      <c r="AO74" s="183"/>
      <c r="AP74" s="183"/>
      <c r="AQ74" s="183"/>
      <c r="AR74" s="183"/>
      <c r="AS74" s="183"/>
      <c r="AT74" s="183"/>
      <c r="AU74" s="183"/>
      <c r="AV74" s="183"/>
      <c r="AW74" s="185"/>
      <c r="AX74" s="151"/>
      <c r="AY74" s="151"/>
      <c r="AZ74" s="151"/>
      <c r="BA74" s="151"/>
      <c r="BB74" s="151" t="s">
        <v>1639</v>
      </c>
      <c r="BC74" s="151" t="s">
        <v>1668</v>
      </c>
    </row>
    <row r="75" spans="1:55" x14ac:dyDescent="0.2">
      <c r="A75" s="213"/>
      <c r="B75" s="213"/>
      <c r="C75" s="213"/>
      <c r="D75" s="213"/>
      <c r="E75" s="213"/>
      <c r="F75" s="213"/>
      <c r="G75" s="213"/>
      <c r="H75" s="213"/>
      <c r="I75" s="213"/>
      <c r="J75" s="213"/>
      <c r="K75" s="213"/>
      <c r="L75" s="213"/>
      <c r="M75" s="213"/>
      <c r="N75" s="213"/>
      <c r="O75" s="213"/>
      <c r="P75" s="213"/>
      <c r="Q75" s="213"/>
      <c r="R75" s="213"/>
      <c r="S75" s="213"/>
      <c r="T75" s="213"/>
      <c r="U75" s="213"/>
      <c r="V75" s="213"/>
      <c r="W75" s="213"/>
      <c r="X75" s="213"/>
      <c r="Y75" s="213"/>
      <c r="Z75" s="213"/>
      <c r="AA75" s="205"/>
      <c r="AB75" s="205"/>
      <c r="AC75" s="213"/>
      <c r="AD75" s="213" t="s">
        <v>1639</v>
      </c>
      <c r="AE75" s="213" t="s">
        <v>1670</v>
      </c>
      <c r="AF75" s="213" t="s">
        <v>1479</v>
      </c>
      <c r="AG75" s="213"/>
      <c r="AH75" s="213" t="s">
        <v>1671</v>
      </c>
      <c r="AI75" s="192"/>
      <c r="AJ75" s="205"/>
      <c r="AK75" s="205"/>
      <c r="AL75" s="205"/>
      <c r="AM75" s="205"/>
      <c r="AN75" s="205"/>
      <c r="AO75" s="183"/>
      <c r="AP75" s="183"/>
      <c r="AQ75" s="183"/>
      <c r="AR75" s="183"/>
      <c r="AS75" s="183"/>
      <c r="AT75" s="183"/>
      <c r="AU75" s="183"/>
      <c r="AV75" s="183"/>
      <c r="AW75" s="185"/>
      <c r="AX75" s="151"/>
      <c r="AY75" s="151"/>
      <c r="AZ75" s="151"/>
      <c r="BA75" s="151"/>
      <c r="BB75" s="151" t="s">
        <v>1639</v>
      </c>
      <c r="BC75" s="151" t="s">
        <v>1670</v>
      </c>
    </row>
    <row r="76" spans="1:55" ht="28.35" customHeight="1" x14ac:dyDescent="0.2">
      <c r="A76" s="213"/>
      <c r="B76" s="213"/>
      <c r="C76" s="213"/>
      <c r="D76" s="213"/>
      <c r="E76" s="213"/>
      <c r="F76" s="213"/>
      <c r="G76" s="213"/>
      <c r="H76" s="213"/>
      <c r="I76" s="213"/>
      <c r="J76" s="213"/>
      <c r="K76" s="213"/>
      <c r="L76" s="213"/>
      <c r="M76" s="213"/>
      <c r="N76" s="213"/>
      <c r="O76" s="213"/>
      <c r="P76" s="213"/>
      <c r="Q76" s="213"/>
      <c r="R76" s="213"/>
      <c r="S76" s="213"/>
      <c r="T76" s="213"/>
      <c r="U76" s="213"/>
      <c r="V76" s="213"/>
      <c r="W76" s="213"/>
      <c r="X76" s="213"/>
      <c r="Y76" s="213"/>
      <c r="Z76" s="213"/>
      <c r="AA76" s="205"/>
      <c r="AB76" s="205"/>
      <c r="AC76" s="213"/>
      <c r="AD76" s="213" t="s">
        <v>1639</v>
      </c>
      <c r="AE76" s="213" t="s">
        <v>1672</v>
      </c>
      <c r="AF76" s="213" t="s">
        <v>1479</v>
      </c>
      <c r="AG76" s="213"/>
      <c r="AH76" s="213" t="s">
        <v>1673</v>
      </c>
      <c r="AI76" s="192"/>
      <c r="AJ76" s="205"/>
      <c r="AK76" s="205"/>
      <c r="AL76" s="205"/>
      <c r="AM76" s="205"/>
      <c r="AN76" s="205"/>
      <c r="AO76" s="183"/>
      <c r="AP76" s="183"/>
      <c r="AQ76" s="183"/>
      <c r="AR76" s="183"/>
      <c r="AS76" s="183"/>
      <c r="AT76" s="183"/>
      <c r="AU76" s="183"/>
      <c r="AV76" s="183"/>
      <c r="AW76" s="185"/>
      <c r="AX76" s="151"/>
      <c r="AY76" s="151"/>
      <c r="AZ76" s="151"/>
      <c r="BA76" s="151"/>
      <c r="BB76" s="151" t="s">
        <v>1639</v>
      </c>
      <c r="BC76" s="151" t="s">
        <v>1672</v>
      </c>
    </row>
    <row r="77" spans="1:55" x14ac:dyDescent="0.2">
      <c r="A77" s="213"/>
      <c r="B77" s="213"/>
      <c r="C77" s="213"/>
      <c r="D77" s="213"/>
      <c r="E77" s="213"/>
      <c r="F77" s="213"/>
      <c r="G77" s="213"/>
      <c r="H77" s="213"/>
      <c r="I77" s="213"/>
      <c r="J77" s="213"/>
      <c r="K77" s="213"/>
      <c r="L77" s="213"/>
      <c r="M77" s="213"/>
      <c r="N77" s="213"/>
      <c r="O77" s="213"/>
      <c r="P77" s="213"/>
      <c r="Q77" s="213"/>
      <c r="R77" s="213"/>
      <c r="S77" s="213"/>
      <c r="T77" s="213"/>
      <c r="U77" s="213"/>
      <c r="V77" s="213"/>
      <c r="W77" s="213"/>
      <c r="X77" s="213"/>
      <c r="Y77" s="213"/>
      <c r="Z77" s="213"/>
      <c r="AA77" s="205"/>
      <c r="AB77" s="205"/>
      <c r="AC77" s="213"/>
      <c r="AD77" s="213" t="s">
        <v>1639</v>
      </c>
      <c r="AE77" s="213" t="s">
        <v>1674</v>
      </c>
      <c r="AF77" s="213" t="s">
        <v>1479</v>
      </c>
      <c r="AG77" s="213"/>
      <c r="AH77" s="213" t="s">
        <v>1675</v>
      </c>
      <c r="AI77" s="192"/>
      <c r="AJ77" s="205"/>
      <c r="AK77" s="205"/>
      <c r="AL77" s="205"/>
      <c r="AM77" s="205"/>
      <c r="AN77" s="205"/>
      <c r="AO77" s="183"/>
      <c r="AP77" s="183"/>
      <c r="AQ77" s="183"/>
      <c r="AR77" s="183"/>
      <c r="AS77" s="183"/>
      <c r="AT77" s="183"/>
      <c r="AU77" s="183"/>
      <c r="AV77" s="183"/>
      <c r="AW77" s="185"/>
      <c r="AX77" s="151"/>
      <c r="AY77" s="151"/>
      <c r="AZ77" s="151"/>
      <c r="BA77" s="151"/>
      <c r="BB77" s="151" t="s">
        <v>1639</v>
      </c>
      <c r="BC77" s="151" t="s">
        <v>1674</v>
      </c>
    </row>
    <row r="78" spans="1:55" x14ac:dyDescent="0.2">
      <c r="A78" s="213"/>
      <c r="B78" s="213"/>
      <c r="C78" s="213"/>
      <c r="D78" s="213"/>
      <c r="E78" s="213"/>
      <c r="F78" s="213"/>
      <c r="G78" s="213"/>
      <c r="H78" s="213"/>
      <c r="I78" s="213"/>
      <c r="J78" s="213"/>
      <c r="K78" s="213"/>
      <c r="L78" s="213"/>
      <c r="M78" s="213"/>
      <c r="N78" s="213"/>
      <c r="O78" s="213"/>
      <c r="P78" s="213"/>
      <c r="Q78" s="213"/>
      <c r="R78" s="213"/>
      <c r="S78" s="213"/>
      <c r="T78" s="213"/>
      <c r="U78" s="213"/>
      <c r="V78" s="213"/>
      <c r="W78" s="213"/>
      <c r="X78" s="213"/>
      <c r="Y78" s="213"/>
      <c r="Z78" s="213"/>
      <c r="AA78" s="205"/>
      <c r="AB78" s="205"/>
      <c r="AC78" s="213"/>
      <c r="AD78" s="213" t="s">
        <v>1639</v>
      </c>
      <c r="AE78" s="213" t="s">
        <v>1676</v>
      </c>
      <c r="AF78" s="213" t="s">
        <v>1479</v>
      </c>
      <c r="AG78" s="213"/>
      <c r="AH78" s="213" t="s">
        <v>1677</v>
      </c>
      <c r="AI78" s="192"/>
      <c r="AJ78" s="205"/>
      <c r="AK78" s="205"/>
      <c r="AL78" s="205"/>
      <c r="AM78" s="205"/>
      <c r="AN78" s="205"/>
      <c r="AO78" s="183"/>
      <c r="AP78" s="183"/>
      <c r="AQ78" s="183"/>
      <c r="AR78" s="183"/>
      <c r="AS78" s="183"/>
      <c r="AT78" s="183"/>
      <c r="AU78" s="183"/>
      <c r="AV78" s="183"/>
      <c r="AW78" s="185"/>
      <c r="AX78" s="151"/>
      <c r="AY78" s="151"/>
      <c r="AZ78" s="151"/>
      <c r="BA78" s="151"/>
      <c r="BB78" s="151" t="s">
        <v>1639</v>
      </c>
      <c r="BC78" s="151" t="s">
        <v>1676</v>
      </c>
    </row>
    <row r="79" spans="1:55" x14ac:dyDescent="0.2">
      <c r="A79" s="213"/>
      <c r="B79" s="213"/>
      <c r="C79" s="213"/>
      <c r="D79" s="213"/>
      <c r="E79" s="213"/>
      <c r="F79" s="213"/>
      <c r="G79" s="213"/>
      <c r="H79" s="213"/>
      <c r="I79" s="213"/>
      <c r="J79" s="213"/>
      <c r="K79" s="213"/>
      <c r="L79" s="213"/>
      <c r="M79" s="213"/>
      <c r="N79" s="213"/>
      <c r="O79" s="213"/>
      <c r="P79" s="213"/>
      <c r="Q79" s="213"/>
      <c r="R79" s="213"/>
      <c r="S79" s="213"/>
      <c r="T79" s="213"/>
      <c r="U79" s="213"/>
      <c r="V79" s="213"/>
      <c r="W79" s="213"/>
      <c r="X79" s="213"/>
      <c r="Y79" s="213"/>
      <c r="Z79" s="213"/>
      <c r="AA79" s="205"/>
      <c r="AB79" s="205"/>
      <c r="AC79" s="213"/>
      <c r="AD79" s="213" t="s">
        <v>1639</v>
      </c>
      <c r="AE79" s="213" t="s">
        <v>1678</v>
      </c>
      <c r="AF79" s="213" t="s">
        <v>1479</v>
      </c>
      <c r="AG79" s="213"/>
      <c r="AH79" s="213" t="s">
        <v>1679</v>
      </c>
      <c r="AI79" s="192"/>
      <c r="AJ79" s="205"/>
      <c r="AK79" s="205"/>
      <c r="AL79" s="205"/>
      <c r="AM79" s="205"/>
      <c r="AN79" s="205"/>
      <c r="AO79" s="183"/>
      <c r="AP79" s="183"/>
      <c r="AQ79" s="183"/>
      <c r="AR79" s="183"/>
      <c r="AS79" s="183"/>
      <c r="AT79" s="183"/>
      <c r="AU79" s="183"/>
      <c r="AV79" s="183"/>
      <c r="AW79" s="185"/>
      <c r="AX79" s="151"/>
      <c r="AY79" s="151"/>
      <c r="AZ79" s="151"/>
      <c r="BA79" s="151"/>
      <c r="BB79" s="151" t="s">
        <v>1639</v>
      </c>
      <c r="BC79" s="151" t="s">
        <v>1678</v>
      </c>
    </row>
    <row r="80" spans="1:55" x14ac:dyDescent="0.2">
      <c r="A80" s="213"/>
      <c r="B80" s="213"/>
      <c r="C80" s="213"/>
      <c r="D80" s="213"/>
      <c r="E80" s="213"/>
      <c r="F80" s="213"/>
      <c r="G80" s="213"/>
      <c r="H80" s="213"/>
      <c r="I80" s="213"/>
      <c r="J80" s="213"/>
      <c r="K80" s="213"/>
      <c r="L80" s="213"/>
      <c r="M80" s="213"/>
      <c r="N80" s="213"/>
      <c r="O80" s="213"/>
      <c r="P80" s="213"/>
      <c r="Q80" s="213"/>
      <c r="R80" s="213"/>
      <c r="S80" s="213"/>
      <c r="T80" s="213"/>
      <c r="U80" s="213"/>
      <c r="V80" s="213"/>
      <c r="W80" s="213"/>
      <c r="X80" s="213"/>
      <c r="Y80" s="213"/>
      <c r="Z80" s="213"/>
      <c r="AA80" s="205"/>
      <c r="AB80" s="205"/>
      <c r="AC80" s="213"/>
      <c r="AD80" s="213" t="s">
        <v>1639</v>
      </c>
      <c r="AE80" s="213" t="s">
        <v>1680</v>
      </c>
      <c r="AF80" s="213" t="s">
        <v>1479</v>
      </c>
      <c r="AG80" s="213"/>
      <c r="AH80" s="213" t="s">
        <v>1683</v>
      </c>
      <c r="AI80" s="192"/>
      <c r="AJ80" s="205"/>
      <c r="AK80" s="205"/>
      <c r="AL80" s="205"/>
      <c r="AM80" s="205"/>
      <c r="AN80" s="205"/>
      <c r="AO80" s="183"/>
      <c r="AP80" s="183"/>
      <c r="AQ80" s="183"/>
      <c r="AR80" s="183"/>
      <c r="AS80" s="183"/>
      <c r="AT80" s="183"/>
      <c r="AU80" s="183"/>
      <c r="AV80" s="183"/>
      <c r="AW80" s="185"/>
      <c r="AX80" s="151"/>
      <c r="AY80" s="151"/>
      <c r="AZ80" s="151"/>
      <c r="BA80" s="151"/>
      <c r="BB80" s="151" t="s">
        <v>1639</v>
      </c>
      <c r="BC80" s="151" t="s">
        <v>1680</v>
      </c>
    </row>
    <row r="81" spans="1:58" ht="25.5" x14ac:dyDescent="0.2">
      <c r="A81" s="213"/>
      <c r="B81" s="213"/>
      <c r="C81" s="213"/>
      <c r="D81" s="213"/>
      <c r="E81" s="213"/>
      <c r="F81" s="213"/>
      <c r="G81" s="213"/>
      <c r="H81" s="213"/>
      <c r="I81" s="213"/>
      <c r="J81" s="213"/>
      <c r="K81" s="213"/>
      <c r="L81" s="213"/>
      <c r="M81" s="213"/>
      <c r="N81" s="213"/>
      <c r="O81" s="213"/>
      <c r="P81" s="213"/>
      <c r="Q81" s="213"/>
      <c r="R81" s="213"/>
      <c r="S81" s="213"/>
      <c r="T81" s="213"/>
      <c r="U81" s="213"/>
      <c r="V81" s="213"/>
      <c r="W81" s="213"/>
      <c r="X81" s="213"/>
      <c r="Y81" s="213"/>
      <c r="Z81" s="213"/>
      <c r="AA81" s="205"/>
      <c r="AB81" s="205"/>
      <c r="AC81" s="213"/>
      <c r="AD81" s="213" t="s">
        <v>1639</v>
      </c>
      <c r="AE81" s="213" t="s">
        <v>1681</v>
      </c>
      <c r="AF81" s="213" t="s">
        <v>1479</v>
      </c>
      <c r="AG81" s="213"/>
      <c r="AH81" s="213" t="s">
        <v>1682</v>
      </c>
      <c r="AI81" s="192"/>
      <c r="AJ81" s="205"/>
      <c r="AK81" s="205"/>
      <c r="AL81" s="205"/>
      <c r="AM81" s="205"/>
      <c r="AN81" s="205"/>
      <c r="AO81" s="183"/>
      <c r="AP81" s="183"/>
      <c r="AQ81" s="183"/>
      <c r="AR81" s="183"/>
      <c r="AS81" s="183"/>
      <c r="AT81" s="183"/>
      <c r="AU81" s="183"/>
      <c r="AV81" s="183"/>
      <c r="AW81" s="185"/>
      <c r="AX81" s="151"/>
      <c r="AY81" s="151"/>
      <c r="AZ81" s="151"/>
      <c r="BA81" s="151"/>
      <c r="BB81" s="151" t="s">
        <v>1639</v>
      </c>
      <c r="BC81" s="151" t="s">
        <v>1681</v>
      </c>
    </row>
    <row r="82" spans="1:58" ht="25.5" x14ac:dyDescent="0.2">
      <c r="A82" s="213"/>
      <c r="B82" s="213"/>
      <c r="C82" s="213"/>
      <c r="D82" s="213"/>
      <c r="E82" s="213"/>
      <c r="F82" s="213"/>
      <c r="G82" s="213"/>
      <c r="H82" s="213"/>
      <c r="I82" s="213"/>
      <c r="J82" s="213"/>
      <c r="K82" s="213"/>
      <c r="L82" s="213"/>
      <c r="M82" s="213"/>
      <c r="N82" s="213"/>
      <c r="O82" s="213"/>
      <c r="P82" s="213"/>
      <c r="Q82" s="213"/>
      <c r="R82" s="213"/>
      <c r="S82" s="213"/>
      <c r="T82" s="213"/>
      <c r="U82" s="213"/>
      <c r="V82" s="213"/>
      <c r="W82" s="213"/>
      <c r="X82" s="213"/>
      <c r="Y82" s="213"/>
      <c r="Z82" s="213"/>
      <c r="AA82" s="205"/>
      <c r="AB82" s="205"/>
      <c r="AC82" s="213"/>
      <c r="AD82" s="213" t="s">
        <v>1639</v>
      </c>
      <c r="AE82" s="213" t="s">
        <v>1681</v>
      </c>
      <c r="AF82" s="213" t="s">
        <v>1479</v>
      </c>
      <c r="AG82" s="213"/>
      <c r="AH82" s="213" t="s">
        <v>1682</v>
      </c>
      <c r="AI82" s="192"/>
      <c r="AJ82" s="205"/>
      <c r="AK82" s="205"/>
      <c r="AL82" s="205"/>
      <c r="AM82" s="205"/>
      <c r="AN82" s="205"/>
      <c r="AO82" s="183"/>
      <c r="AP82" s="183"/>
      <c r="AQ82" s="183"/>
      <c r="AR82" s="183"/>
      <c r="AS82" s="183"/>
      <c r="AT82" s="183"/>
      <c r="AU82" s="183"/>
      <c r="AV82" s="183"/>
      <c r="AW82" s="185"/>
      <c r="AX82" s="151"/>
      <c r="AY82" s="151"/>
      <c r="AZ82" s="151"/>
      <c r="BA82" s="151"/>
      <c r="BB82" s="151" t="s">
        <v>1639</v>
      </c>
      <c r="BC82" s="151" t="s">
        <v>1681</v>
      </c>
    </row>
    <row r="83" spans="1:58" ht="25.5" x14ac:dyDescent="0.2">
      <c r="A83" s="213"/>
      <c r="B83" s="213"/>
      <c r="C83" s="213"/>
      <c r="D83" s="213"/>
      <c r="E83" s="213"/>
      <c r="F83" s="213"/>
      <c r="G83" s="213"/>
      <c r="H83" s="213"/>
      <c r="I83" s="213"/>
      <c r="J83" s="213"/>
      <c r="K83" s="213"/>
      <c r="L83" s="213"/>
      <c r="M83" s="213"/>
      <c r="N83" s="213"/>
      <c r="O83" s="213"/>
      <c r="P83" s="213"/>
      <c r="Q83" s="213"/>
      <c r="R83" s="213"/>
      <c r="S83" s="213"/>
      <c r="T83" s="213"/>
      <c r="U83" s="213"/>
      <c r="V83" s="213"/>
      <c r="W83" s="213"/>
      <c r="X83" s="213"/>
      <c r="Y83" s="213"/>
      <c r="Z83" s="213"/>
      <c r="AA83" s="205"/>
      <c r="AB83" s="205"/>
      <c r="AC83" s="213"/>
      <c r="AD83" s="213" t="s">
        <v>1639</v>
      </c>
      <c r="AE83" s="213" t="s">
        <v>1684</v>
      </c>
      <c r="AF83" s="213" t="s">
        <v>1479</v>
      </c>
      <c r="AG83" s="213"/>
      <c r="AH83" s="213" t="s">
        <v>1685</v>
      </c>
      <c r="AI83" s="192"/>
      <c r="AJ83" s="205"/>
      <c r="AK83" s="205"/>
      <c r="AL83" s="205"/>
      <c r="AM83" s="205"/>
      <c r="AN83" s="205"/>
      <c r="AO83" s="183"/>
      <c r="AP83" s="183"/>
      <c r="AQ83" s="183"/>
      <c r="AR83" s="183"/>
      <c r="AS83" s="183"/>
      <c r="AT83" s="183"/>
      <c r="AU83" s="183"/>
      <c r="AV83" s="183"/>
      <c r="AW83" s="185"/>
      <c r="AX83" s="151"/>
      <c r="AY83" s="151"/>
      <c r="AZ83" s="151"/>
      <c r="BA83" s="151"/>
      <c r="BB83" s="151" t="s">
        <v>1639</v>
      </c>
      <c r="BC83" s="151" t="s">
        <v>1684</v>
      </c>
    </row>
    <row r="84" spans="1:58" ht="63.75" x14ac:dyDescent="0.2">
      <c r="A84" s="171" t="s">
        <v>1416</v>
      </c>
      <c r="B84" s="171" t="s">
        <v>908</v>
      </c>
      <c r="C84" s="171" t="s">
        <v>507</v>
      </c>
      <c r="D84" s="171" t="s">
        <v>748</v>
      </c>
      <c r="E84" s="171" t="s">
        <v>565</v>
      </c>
      <c r="F84" s="171" t="s">
        <v>929</v>
      </c>
      <c r="G84" s="171" t="s">
        <v>342</v>
      </c>
      <c r="H84" s="171">
        <v>123456</v>
      </c>
      <c r="I84" s="172" t="s">
        <v>651</v>
      </c>
      <c r="J84" s="172" t="s">
        <v>748</v>
      </c>
      <c r="K84" s="187" t="s">
        <v>564</v>
      </c>
      <c r="L84" s="172" t="s">
        <v>565</v>
      </c>
      <c r="M84" s="171" t="s">
        <v>45</v>
      </c>
      <c r="N84" s="172" t="s">
        <v>896</v>
      </c>
      <c r="O84" s="172" t="s">
        <v>342</v>
      </c>
      <c r="P84" s="173">
        <v>44293</v>
      </c>
      <c r="Q84" s="171" t="s">
        <v>564</v>
      </c>
      <c r="R84" s="171" t="s">
        <v>564</v>
      </c>
      <c r="S84" s="171" t="s">
        <v>36</v>
      </c>
      <c r="T84" s="171" t="s">
        <v>1206</v>
      </c>
      <c r="U84" s="171" t="s">
        <v>1209</v>
      </c>
      <c r="V84" s="171" t="s">
        <v>564</v>
      </c>
      <c r="W84" s="171"/>
      <c r="X84" s="171" t="s">
        <v>1383</v>
      </c>
      <c r="Y84" s="171" t="s">
        <v>1168</v>
      </c>
      <c r="Z84" s="174" t="s">
        <v>986</v>
      </c>
      <c r="AA84" s="175"/>
      <c r="AB84" s="175" t="s">
        <v>1148</v>
      </c>
      <c r="AC84" s="174" t="str">
        <f t="shared" ref="AC84:AC89" si="13">V84</f>
        <v>employmentNumber</v>
      </c>
      <c r="AD84" s="174" t="s">
        <v>1148</v>
      </c>
      <c r="AE84" s="174" t="s">
        <v>565</v>
      </c>
      <c r="AF84" s="174" t="s">
        <v>1479</v>
      </c>
      <c r="AG84" s="174"/>
      <c r="AH84" s="174"/>
      <c r="AI84" s="176" t="s">
        <v>963</v>
      </c>
      <c r="AJ84" s="177" t="s">
        <v>1148</v>
      </c>
      <c r="AK84" s="177" t="s">
        <v>565</v>
      </c>
      <c r="AL84" s="177"/>
      <c r="AM84" s="177">
        <f>SUBTOTAL(9,H84:Y84)</f>
        <v>167749</v>
      </c>
      <c r="AN84" s="177" t="s">
        <v>963</v>
      </c>
      <c r="AO84" s="174" t="str">
        <f t="shared" ref="AO84:AQ89" si="14">X84</f>
        <v>wfm_dm_v1</v>
      </c>
      <c r="AP84" s="174" t="str">
        <f t="shared" si="14"/>
        <v>dim</v>
      </c>
      <c r="AQ84" s="174" t="str">
        <f t="shared" si="14"/>
        <v>dPerson</v>
      </c>
      <c r="AR84" s="174" t="str">
        <f>AC84</f>
        <v>employmentNumber</v>
      </c>
      <c r="AS84" s="174" t="str">
        <f>AD84</f>
        <v>Medarbetare</v>
      </c>
      <c r="AT84" s="174" t="str">
        <f>AE84</f>
        <v>Anställningsnummer</v>
      </c>
      <c r="AU84" s="174">
        <f t="shared" ref="AU84:AW89" si="15">AG84</f>
        <v>0</v>
      </c>
      <c r="AV84" s="174">
        <f t="shared" si="15"/>
        <v>0</v>
      </c>
      <c r="AW84" s="176" t="str">
        <f t="shared" si="15"/>
        <v/>
      </c>
    </row>
    <row r="85" spans="1:58" ht="25.5" x14ac:dyDescent="0.2">
      <c r="A85" s="180" t="s">
        <v>1416</v>
      </c>
      <c r="B85" s="180" t="s">
        <v>908</v>
      </c>
      <c r="C85" s="180" t="s">
        <v>507</v>
      </c>
      <c r="D85" s="180" t="s">
        <v>748</v>
      </c>
      <c r="E85" s="180" t="s">
        <v>248</v>
      </c>
      <c r="F85" s="180" t="s">
        <v>930</v>
      </c>
      <c r="G85" s="180" t="s">
        <v>342</v>
      </c>
      <c r="H85" s="180">
        <v>100020</v>
      </c>
      <c r="I85" s="181" t="s">
        <v>651</v>
      </c>
      <c r="J85" s="181" t="s">
        <v>748</v>
      </c>
      <c r="K85" s="188" t="s">
        <v>669</v>
      </c>
      <c r="L85" s="180" t="s">
        <v>671</v>
      </c>
      <c r="M85" s="180" t="s">
        <v>45</v>
      </c>
      <c r="N85" s="181" t="s">
        <v>895</v>
      </c>
      <c r="O85" s="181" t="s">
        <v>342</v>
      </c>
      <c r="P85" s="182">
        <v>44293</v>
      </c>
      <c r="Q85" s="180" t="s">
        <v>989</v>
      </c>
      <c r="R85" s="180" t="s">
        <v>989</v>
      </c>
      <c r="S85" s="180" t="s">
        <v>36</v>
      </c>
      <c r="T85" s="180" t="s">
        <v>1206</v>
      </c>
      <c r="U85" s="180" t="s">
        <v>1209</v>
      </c>
      <c r="V85" s="180" t="s">
        <v>669</v>
      </c>
      <c r="W85" s="180"/>
      <c r="X85" s="180" t="s">
        <v>1383</v>
      </c>
      <c r="Y85" s="180" t="s">
        <v>1168</v>
      </c>
      <c r="Z85" s="183" t="s">
        <v>986</v>
      </c>
      <c r="AA85" s="175"/>
      <c r="AB85" s="175" t="s">
        <v>1148</v>
      </c>
      <c r="AC85" s="183" t="str">
        <f t="shared" si="13"/>
        <v>costCenterNumber</v>
      </c>
      <c r="AD85" s="183" t="s">
        <v>1148</v>
      </c>
      <c r="AE85" s="183" t="s">
        <v>669</v>
      </c>
      <c r="AF85" s="183" t="s">
        <v>1549</v>
      </c>
      <c r="AG85" s="183"/>
      <c r="AH85" s="183"/>
      <c r="AI85" s="185" t="s">
        <v>963</v>
      </c>
      <c r="AJ85" s="177" t="s">
        <v>1148</v>
      </c>
      <c r="AK85" s="177" t="s">
        <v>671</v>
      </c>
      <c r="AL85" s="177"/>
      <c r="AM85" s="177">
        <f>SUBTOTAL(9,H85:Y85)</f>
        <v>144313</v>
      </c>
      <c r="AN85" s="177" t="s">
        <v>963</v>
      </c>
      <c r="AO85" s="183" t="str">
        <f t="shared" si="14"/>
        <v>wfm_dm_v1</v>
      </c>
      <c r="AP85" s="183" t="str">
        <f t="shared" si="14"/>
        <v>dim</v>
      </c>
      <c r="AQ85" s="183" t="str">
        <f t="shared" si="14"/>
        <v>dPerson</v>
      </c>
      <c r="AR85" s="183" t="str">
        <f t="shared" ref="AR85:AS89" si="16">AC85</f>
        <v>costCenterNumber</v>
      </c>
      <c r="AS85" s="183" t="str">
        <f t="shared" si="16"/>
        <v>Medarbetare</v>
      </c>
      <c r="AT85" s="183" t="e">
        <f>#REF!</f>
        <v>#REF!</v>
      </c>
      <c r="AU85" s="183">
        <f t="shared" si="15"/>
        <v>0</v>
      </c>
      <c r="AV85" s="183">
        <f t="shared" si="15"/>
        <v>0</v>
      </c>
      <c r="AW85" s="185" t="str">
        <f t="shared" si="15"/>
        <v/>
      </c>
    </row>
    <row r="86" spans="1:58" ht="165.75" x14ac:dyDescent="0.2">
      <c r="A86" s="171" t="s">
        <v>1416</v>
      </c>
      <c r="B86" s="171" t="s">
        <v>908</v>
      </c>
      <c r="C86" s="171" t="s">
        <v>507</v>
      </c>
      <c r="D86" s="171" t="s">
        <v>748</v>
      </c>
      <c r="E86" s="171" t="s">
        <v>365</v>
      </c>
      <c r="F86" s="171" t="s">
        <v>931</v>
      </c>
      <c r="G86" s="171" t="s">
        <v>661</v>
      </c>
      <c r="H86" s="171"/>
      <c r="I86" s="172" t="s">
        <v>651</v>
      </c>
      <c r="J86" s="172" t="s">
        <v>748</v>
      </c>
      <c r="K86" s="189" t="s">
        <v>636</v>
      </c>
      <c r="L86" s="171" t="s">
        <v>678</v>
      </c>
      <c r="M86" s="172" t="s">
        <v>661</v>
      </c>
      <c r="N86" s="172" t="s">
        <v>933</v>
      </c>
      <c r="O86" s="172" t="s">
        <v>342</v>
      </c>
      <c r="P86" s="173">
        <v>44293</v>
      </c>
      <c r="Q86" s="171" t="s">
        <v>636</v>
      </c>
      <c r="R86" s="171" t="s">
        <v>636</v>
      </c>
      <c r="S86" s="171"/>
      <c r="T86" s="171" t="s">
        <v>1206</v>
      </c>
      <c r="U86" s="171" t="s">
        <v>1209</v>
      </c>
      <c r="V86" s="171" t="s">
        <v>987</v>
      </c>
      <c r="W86" s="171"/>
      <c r="X86" s="171" t="s">
        <v>1383</v>
      </c>
      <c r="Y86" s="171" t="s">
        <v>1168</v>
      </c>
      <c r="Z86" s="174" t="s">
        <v>986</v>
      </c>
      <c r="AA86" s="175"/>
      <c r="AB86" s="175" t="s">
        <v>1148</v>
      </c>
      <c r="AC86" s="174" t="str">
        <f t="shared" si="13"/>
        <v>activeFromDate</v>
      </c>
      <c r="AD86" s="174" t="s">
        <v>1148</v>
      </c>
      <c r="AE86" s="174" t="s">
        <v>1517</v>
      </c>
      <c r="AF86" s="174" t="s">
        <v>1479</v>
      </c>
      <c r="AG86" s="174"/>
      <c r="AH86" s="174"/>
      <c r="AI86" s="186" t="s">
        <v>1564</v>
      </c>
      <c r="AJ86" s="177" t="s">
        <v>1148</v>
      </c>
      <c r="AK86" s="177" t="s">
        <v>678</v>
      </c>
      <c r="AL86" s="177"/>
      <c r="AM86" s="177"/>
      <c r="AN86" s="177" t="s">
        <v>963</v>
      </c>
      <c r="AO86" s="174" t="str">
        <f t="shared" si="14"/>
        <v>wfm_dm_v1</v>
      </c>
      <c r="AP86" s="174" t="str">
        <f t="shared" si="14"/>
        <v>dim</v>
      </c>
      <c r="AQ86" s="174" t="str">
        <f t="shared" si="14"/>
        <v>dPerson</v>
      </c>
      <c r="AR86" s="174" t="str">
        <f t="shared" si="16"/>
        <v>activeFromDate</v>
      </c>
      <c r="AS86" s="174" t="str">
        <f t="shared" si="16"/>
        <v>Medarbetare</v>
      </c>
      <c r="AT86" s="174" t="e">
        <f>#REF!</f>
        <v>#REF!</v>
      </c>
      <c r="AU86" s="174">
        <f t="shared" si="15"/>
        <v>0</v>
      </c>
      <c r="AV86" s="174">
        <f t="shared" si="15"/>
        <v>0</v>
      </c>
      <c r="AW86" s="176" t="str">
        <f t="shared" si="15"/>
        <v>Datum då anställning började. För personer anställda innan 2016-11-09 saknas det korrekta startdatumet. SDA får datumet 2016-11-09 på dessa från Sucessfactor. Personer som anställts efter 2016-11-09 har korrekt startdatum.</v>
      </c>
    </row>
    <row r="87" spans="1:58" ht="165.75" x14ac:dyDescent="0.2">
      <c r="A87" s="171" t="s">
        <v>1416</v>
      </c>
      <c r="B87" s="171" t="s">
        <v>908</v>
      </c>
      <c r="C87" s="171" t="s">
        <v>507</v>
      </c>
      <c r="D87" s="171" t="s">
        <v>748</v>
      </c>
      <c r="E87" s="171" t="s">
        <v>366</v>
      </c>
      <c r="F87" s="171" t="s">
        <v>931</v>
      </c>
      <c r="G87" s="171" t="s">
        <v>661</v>
      </c>
      <c r="H87" s="171"/>
      <c r="I87" s="172" t="s">
        <v>651</v>
      </c>
      <c r="J87" s="172" t="s">
        <v>748</v>
      </c>
      <c r="K87" s="172" t="s">
        <v>637</v>
      </c>
      <c r="L87" s="171" t="s">
        <v>679</v>
      </c>
      <c r="M87" s="172" t="s">
        <v>661</v>
      </c>
      <c r="N87" s="172" t="s">
        <v>933</v>
      </c>
      <c r="O87" s="172" t="s">
        <v>342</v>
      </c>
      <c r="P87" s="173">
        <v>44293</v>
      </c>
      <c r="Q87" s="171" t="s">
        <v>637</v>
      </c>
      <c r="R87" s="171" t="s">
        <v>637</v>
      </c>
      <c r="S87" s="171"/>
      <c r="T87" s="171" t="s">
        <v>1206</v>
      </c>
      <c r="U87" s="171" t="s">
        <v>1209</v>
      </c>
      <c r="V87" s="171" t="s">
        <v>988</v>
      </c>
      <c r="W87" s="171"/>
      <c r="X87" s="171" t="s">
        <v>1383</v>
      </c>
      <c r="Y87" s="171" t="s">
        <v>1168</v>
      </c>
      <c r="Z87" s="174" t="s">
        <v>986</v>
      </c>
      <c r="AA87" s="175"/>
      <c r="AB87" s="175" t="s">
        <v>1148</v>
      </c>
      <c r="AC87" s="174" t="str">
        <f t="shared" si="13"/>
        <v>activeToDate</v>
      </c>
      <c r="AD87" s="174" t="s">
        <v>1148</v>
      </c>
      <c r="AE87" s="174" t="s">
        <v>1518</v>
      </c>
      <c r="AF87" s="174" t="s">
        <v>1479</v>
      </c>
      <c r="AG87" s="174"/>
      <c r="AH87" s="174"/>
      <c r="AI87" s="176" t="s">
        <v>963</v>
      </c>
      <c r="AJ87" s="177" t="s">
        <v>1148</v>
      </c>
      <c r="AK87" s="177" t="s">
        <v>679</v>
      </c>
      <c r="AL87" s="177"/>
      <c r="AM87" s="177"/>
      <c r="AN87" s="177" t="s">
        <v>963</v>
      </c>
      <c r="AO87" s="174" t="str">
        <f t="shared" si="14"/>
        <v>wfm_dm_v1</v>
      </c>
      <c r="AP87" s="174" t="str">
        <f t="shared" si="14"/>
        <v>dim</v>
      </c>
      <c r="AQ87" s="174" t="str">
        <f t="shared" si="14"/>
        <v>dPerson</v>
      </c>
      <c r="AR87" s="174" t="str">
        <f t="shared" si="16"/>
        <v>activeToDate</v>
      </c>
      <c r="AS87" s="174" t="str">
        <f t="shared" si="16"/>
        <v>Medarbetare</v>
      </c>
      <c r="AT87" s="174" t="e">
        <f>#REF!</f>
        <v>#REF!</v>
      </c>
      <c r="AU87" s="174">
        <f t="shared" si="15"/>
        <v>0</v>
      </c>
      <c r="AV87" s="174">
        <f t="shared" si="15"/>
        <v>0</v>
      </c>
      <c r="AW87" s="176" t="str">
        <f t="shared" si="15"/>
        <v/>
      </c>
    </row>
    <row r="88" spans="1:58" ht="25.5" x14ac:dyDescent="0.2">
      <c r="A88" s="171" t="s">
        <v>1416</v>
      </c>
      <c r="B88" s="171" t="s">
        <v>908</v>
      </c>
      <c r="C88" s="171" t="s">
        <v>507</v>
      </c>
      <c r="D88" s="171" t="s">
        <v>748</v>
      </c>
      <c r="E88" s="171" t="s">
        <v>377</v>
      </c>
      <c r="F88" s="171" t="s">
        <v>930</v>
      </c>
      <c r="G88" s="171" t="s">
        <v>342</v>
      </c>
      <c r="H88" s="171" t="s">
        <v>732</v>
      </c>
      <c r="I88" s="172" t="s">
        <v>651</v>
      </c>
      <c r="J88" s="172" t="s">
        <v>748</v>
      </c>
      <c r="K88" s="187" t="s">
        <v>559</v>
      </c>
      <c r="L88" s="172" t="s">
        <v>377</v>
      </c>
      <c r="M88" s="171" t="s">
        <v>45</v>
      </c>
      <c r="N88" s="172" t="s">
        <v>893</v>
      </c>
      <c r="O88" s="172" t="s">
        <v>342</v>
      </c>
      <c r="P88" s="173">
        <v>44293</v>
      </c>
      <c r="Q88" s="171" t="s">
        <v>990</v>
      </c>
      <c r="R88" s="171" t="s">
        <v>990</v>
      </c>
      <c r="S88" s="171"/>
      <c r="T88" s="171" t="s">
        <v>1206</v>
      </c>
      <c r="U88" s="171" t="s">
        <v>1209</v>
      </c>
      <c r="V88" s="171" t="s">
        <v>982</v>
      </c>
      <c r="W88" s="171"/>
      <c r="X88" s="171" t="s">
        <v>1383</v>
      </c>
      <c r="Y88" s="171" t="s">
        <v>1168</v>
      </c>
      <c r="Z88" s="174" t="s">
        <v>986</v>
      </c>
      <c r="AA88" s="175"/>
      <c r="AB88" s="175" t="s">
        <v>1148</v>
      </c>
      <c r="AC88" s="174" t="str">
        <f t="shared" si="13"/>
        <v>employmentCategory</v>
      </c>
      <c r="AD88" s="174" t="s">
        <v>1148</v>
      </c>
      <c r="AE88" s="174" t="s">
        <v>1497</v>
      </c>
      <c r="AF88" s="174" t="s">
        <v>1479</v>
      </c>
      <c r="AG88" s="174"/>
      <c r="AH88" s="174"/>
      <c r="AI88" s="186" t="s">
        <v>1555</v>
      </c>
      <c r="AJ88" s="177" t="s">
        <v>1148</v>
      </c>
      <c r="AK88" s="177" t="s">
        <v>377</v>
      </c>
      <c r="AL88" s="177"/>
      <c r="AM88" s="177"/>
      <c r="AN88" s="177" t="s">
        <v>991</v>
      </c>
      <c r="AO88" s="174" t="str">
        <f t="shared" si="14"/>
        <v>wfm_dm_v1</v>
      </c>
      <c r="AP88" s="174" t="str">
        <f t="shared" si="14"/>
        <v>dim</v>
      </c>
      <c r="AQ88" s="174" t="str">
        <f t="shared" si="14"/>
        <v>dPerson</v>
      </c>
      <c r="AR88" s="174" t="str">
        <f t="shared" si="16"/>
        <v>employmentCategory</v>
      </c>
      <c r="AS88" s="174" t="str">
        <f t="shared" si="16"/>
        <v>Medarbetare</v>
      </c>
      <c r="AT88" s="174" t="e">
        <f>#REF!</f>
        <v>#REF!</v>
      </c>
      <c r="AU88" s="174">
        <f t="shared" si="15"/>
        <v>0</v>
      </c>
      <c r="AV88" s="174">
        <f t="shared" si="15"/>
        <v>0</v>
      </c>
      <c r="AW88" s="176" t="str">
        <f t="shared" si="15"/>
        <v>Renamed from employeeClass
Personalkategori (SF)</v>
      </c>
    </row>
    <row r="89" spans="1:58" ht="25.5" x14ac:dyDescent="0.2">
      <c r="A89" s="171" t="s">
        <v>1416</v>
      </c>
      <c r="B89" s="171" t="s">
        <v>908</v>
      </c>
      <c r="C89" s="171" t="s">
        <v>507</v>
      </c>
      <c r="D89" s="171" t="s">
        <v>748</v>
      </c>
      <c r="E89" s="171" t="s">
        <v>731</v>
      </c>
      <c r="F89" s="171" t="s">
        <v>930</v>
      </c>
      <c r="G89" s="171" t="s">
        <v>342</v>
      </c>
      <c r="H89" s="171" t="s">
        <v>733</v>
      </c>
      <c r="I89" s="172" t="s">
        <v>651</v>
      </c>
      <c r="J89" s="172" t="s">
        <v>748</v>
      </c>
      <c r="K89" s="171" t="s">
        <v>885</v>
      </c>
      <c r="L89" s="172" t="s">
        <v>734</v>
      </c>
      <c r="M89" s="171" t="s">
        <v>342</v>
      </c>
      <c r="N89" s="172" t="s">
        <v>894</v>
      </c>
      <c r="O89" s="172" t="s">
        <v>342</v>
      </c>
      <c r="P89" s="173">
        <v>44293</v>
      </c>
      <c r="Q89" s="171" t="s">
        <v>992</v>
      </c>
      <c r="R89" s="171" t="s">
        <v>992</v>
      </c>
      <c r="S89" s="171"/>
      <c r="T89" s="171" t="s">
        <v>1206</v>
      </c>
      <c r="U89" s="171" t="s">
        <v>1209</v>
      </c>
      <c r="V89" s="171" t="s">
        <v>993</v>
      </c>
      <c r="W89" s="171"/>
      <c r="X89" s="171" t="s">
        <v>1383</v>
      </c>
      <c r="Y89" s="171" t="s">
        <v>1168</v>
      </c>
      <c r="Z89" s="174" t="s">
        <v>986</v>
      </c>
      <c r="AA89" s="175"/>
      <c r="AB89" s="175" t="s">
        <v>1148</v>
      </c>
      <c r="AC89" s="174" t="str">
        <f t="shared" si="13"/>
        <v>employmentCategoryName</v>
      </c>
      <c r="AD89" s="174" t="s">
        <v>1148</v>
      </c>
      <c r="AE89" s="174" t="s">
        <v>1498</v>
      </c>
      <c r="AF89" s="174" t="s">
        <v>1479</v>
      </c>
      <c r="AG89" s="174"/>
      <c r="AH89" s="174"/>
      <c r="AI89" s="176" t="s">
        <v>994</v>
      </c>
      <c r="AJ89" s="177" t="s">
        <v>1148</v>
      </c>
      <c r="AK89" s="177" t="s">
        <v>734</v>
      </c>
      <c r="AL89" s="177"/>
      <c r="AM89" s="177"/>
      <c r="AN89" s="177" t="s">
        <v>994</v>
      </c>
      <c r="AO89" s="174" t="str">
        <f t="shared" si="14"/>
        <v>wfm_dm_v1</v>
      </c>
      <c r="AP89" s="174" t="str">
        <f t="shared" si="14"/>
        <v>dim</v>
      </c>
      <c r="AQ89" s="174" t="str">
        <f t="shared" si="14"/>
        <v>dPerson</v>
      </c>
      <c r="AR89" s="174" t="str">
        <f t="shared" si="16"/>
        <v>employmentCategoryName</v>
      </c>
      <c r="AS89" s="174" t="str">
        <f t="shared" si="16"/>
        <v>Medarbetare</v>
      </c>
      <c r="AT89" s="174" t="str">
        <f>AE89</f>
        <v>Personalkategorinamn (SF)</v>
      </c>
      <c r="AU89" s="174">
        <f t="shared" si="15"/>
        <v>0</v>
      </c>
      <c r="AV89" s="174">
        <f t="shared" si="15"/>
        <v>0</v>
      </c>
      <c r="AW89" s="176" t="str">
        <f t="shared" si="15"/>
        <v>renamed from employmentClassName</v>
      </c>
    </row>
    <row r="90" spans="1:58" x14ac:dyDescent="0.2">
      <c r="A90" s="171" t="s">
        <v>1416</v>
      </c>
      <c r="B90" s="171" t="s">
        <v>908</v>
      </c>
      <c r="C90" s="171" t="s">
        <v>507</v>
      </c>
      <c r="D90" s="171" t="s">
        <v>748</v>
      </c>
      <c r="E90" s="171" t="s">
        <v>740</v>
      </c>
      <c r="F90" s="171" t="s">
        <v>929</v>
      </c>
      <c r="G90" s="171" t="s">
        <v>342</v>
      </c>
      <c r="H90" s="171"/>
      <c r="I90" s="172" t="s">
        <v>651</v>
      </c>
      <c r="J90" s="172" t="s">
        <v>748</v>
      </c>
      <c r="K90" s="171" t="s">
        <v>740</v>
      </c>
      <c r="L90" s="172" t="s">
        <v>741</v>
      </c>
      <c r="M90" s="171" t="s">
        <v>342</v>
      </c>
      <c r="N90" s="172" t="s">
        <v>901</v>
      </c>
      <c r="O90" s="172" t="s">
        <v>342</v>
      </c>
      <c r="P90" s="173">
        <v>44300</v>
      </c>
      <c r="Q90" s="171" t="s">
        <v>740</v>
      </c>
      <c r="R90" s="171" t="s">
        <v>740</v>
      </c>
      <c r="S90" s="171"/>
      <c r="T90" s="171" t="s">
        <v>1206</v>
      </c>
      <c r="U90" s="171" t="s">
        <v>1209</v>
      </c>
      <c r="V90" s="171" t="s">
        <v>740</v>
      </c>
      <c r="W90" s="171"/>
      <c r="X90" s="171" t="s">
        <v>1383</v>
      </c>
      <c r="Y90" s="171" t="s">
        <v>1168</v>
      </c>
      <c r="Z90" s="174" t="s">
        <v>986</v>
      </c>
      <c r="AA90" s="175"/>
      <c r="AB90" s="175"/>
      <c r="AC90" s="174" t="s">
        <v>740</v>
      </c>
      <c r="AD90" s="174" t="s">
        <v>1148</v>
      </c>
      <c r="AE90" s="174" t="s">
        <v>741</v>
      </c>
      <c r="AF90" s="174" t="s">
        <v>1479</v>
      </c>
      <c r="AG90" s="174"/>
      <c r="AH90" s="174"/>
      <c r="AI90" s="176" t="s">
        <v>963</v>
      </c>
      <c r="AJ90" s="177"/>
      <c r="AK90" s="177" t="s">
        <v>741</v>
      </c>
      <c r="AL90" s="177"/>
      <c r="AM90" s="177"/>
      <c r="AN90" s="177" t="s">
        <v>963</v>
      </c>
      <c r="AO90" s="174"/>
      <c r="AP90" s="174"/>
      <c r="AQ90" s="174"/>
      <c r="AR90" s="174"/>
      <c r="AS90" s="174"/>
      <c r="AT90" s="174"/>
      <c r="AU90" s="174"/>
      <c r="AV90" s="174"/>
      <c r="AW90" s="176"/>
      <c r="AX90" s="140"/>
      <c r="AY90" s="140"/>
      <c r="AZ90" s="140"/>
      <c r="BA90" s="140"/>
      <c r="BB90" s="140"/>
      <c r="BC90" s="140"/>
      <c r="BD90" s="140"/>
      <c r="BE90" s="140"/>
      <c r="BF90" s="140"/>
    </row>
    <row r="91" spans="1:58" x14ac:dyDescent="0.2">
      <c r="A91" s="174"/>
      <c r="B91" s="174"/>
      <c r="C91" s="174"/>
      <c r="D91" s="174"/>
      <c r="E91" s="174"/>
      <c r="F91" s="174"/>
      <c r="G91" s="174"/>
      <c r="H91" s="174"/>
      <c r="I91" s="174"/>
      <c r="J91" s="174"/>
      <c r="K91" s="174"/>
      <c r="L91" s="174"/>
      <c r="M91" s="174"/>
      <c r="N91" s="174"/>
      <c r="O91" s="174"/>
      <c r="P91" s="174"/>
      <c r="Q91" s="174"/>
      <c r="R91" s="174"/>
      <c r="S91" s="174"/>
      <c r="T91" s="171" t="s">
        <v>1206</v>
      </c>
      <c r="U91" s="171" t="s">
        <v>1209</v>
      </c>
      <c r="V91" s="171" t="s">
        <v>907</v>
      </c>
      <c r="W91" s="183"/>
      <c r="X91" s="171" t="s">
        <v>1383</v>
      </c>
      <c r="Y91" s="174" t="s">
        <v>1168</v>
      </c>
      <c r="Z91" s="174" t="s">
        <v>986</v>
      </c>
      <c r="AA91" s="205" t="str">
        <f>AC91</f>
        <v>managerEmploymentNumber</v>
      </c>
      <c r="AB91" s="205"/>
      <c r="AC91" s="171" t="s">
        <v>907</v>
      </c>
      <c r="AD91" s="174" t="s">
        <v>1148</v>
      </c>
      <c r="AE91" s="174" t="s">
        <v>1500</v>
      </c>
      <c r="AF91" s="174" t="s">
        <v>1479</v>
      </c>
      <c r="AG91" s="174"/>
      <c r="AH91" s="174"/>
      <c r="AI91" s="176"/>
      <c r="AJ91" s="198"/>
      <c r="AK91" s="198"/>
      <c r="AL91" s="177"/>
      <c r="AM91" s="198"/>
      <c r="AN91" s="198"/>
      <c r="AO91" s="174"/>
      <c r="AP91" s="174"/>
      <c r="AQ91" s="174"/>
      <c r="AR91" s="174"/>
      <c r="AS91" s="174"/>
      <c r="AT91" s="174"/>
      <c r="AU91" s="174"/>
      <c r="AV91" s="174"/>
      <c r="AW91" s="176"/>
      <c r="AX91" s="129"/>
      <c r="AY91" s="129"/>
      <c r="AZ91" s="129"/>
      <c r="BA91" s="129"/>
      <c r="BB91" s="129"/>
      <c r="BC91" s="129"/>
      <c r="BD91" s="129"/>
      <c r="BE91" s="129"/>
      <c r="BF91" s="129"/>
    </row>
    <row r="92" spans="1:58" s="140" customFormat="1" x14ac:dyDescent="0.2">
      <c r="A92" s="174"/>
      <c r="B92" s="174"/>
      <c r="C92" s="174"/>
      <c r="D92" s="174"/>
      <c r="E92" s="174"/>
      <c r="F92" s="174"/>
      <c r="G92" s="174"/>
      <c r="H92" s="174"/>
      <c r="I92" s="174"/>
      <c r="J92" s="174"/>
      <c r="K92" s="174"/>
      <c r="L92" s="174"/>
      <c r="M92" s="174"/>
      <c r="N92" s="174"/>
      <c r="O92" s="174"/>
      <c r="P92" s="174"/>
      <c r="Q92" s="174"/>
      <c r="R92" s="174"/>
      <c r="S92" s="174"/>
      <c r="T92" s="174"/>
      <c r="U92" s="174"/>
      <c r="V92" s="174"/>
      <c r="W92" s="174"/>
      <c r="X92" s="174"/>
      <c r="Y92" s="174"/>
      <c r="Z92" s="174"/>
      <c r="AA92" s="205"/>
      <c r="AB92" s="205" t="s">
        <v>1148</v>
      </c>
      <c r="AC92" s="174"/>
      <c r="AD92" s="174" t="s">
        <v>1148</v>
      </c>
      <c r="AE92" s="174" t="s">
        <v>1101</v>
      </c>
      <c r="AF92" s="174" t="s">
        <v>1479</v>
      </c>
      <c r="AG92" s="183"/>
      <c r="AH92" s="174" t="s">
        <v>1415</v>
      </c>
      <c r="AI92" s="176"/>
      <c r="AJ92" s="198"/>
      <c r="AK92" s="198"/>
      <c r="AL92" s="198"/>
      <c r="AM92" s="198"/>
      <c r="AN92" s="198"/>
      <c r="AO92" s="174"/>
      <c r="AP92" s="174"/>
      <c r="AQ92" s="174"/>
      <c r="AR92" s="174"/>
      <c r="AS92" s="174"/>
      <c r="AT92" s="174"/>
      <c r="AU92" s="174"/>
      <c r="AV92" s="174"/>
      <c r="AW92" s="176"/>
      <c r="AX92" s="129"/>
      <c r="AY92" s="129"/>
      <c r="AZ92" s="129"/>
      <c r="BA92" s="129"/>
      <c r="BB92" s="129"/>
      <c r="BC92" s="129"/>
      <c r="BD92" s="129"/>
      <c r="BE92" s="129"/>
      <c r="BF92" s="129"/>
    </row>
    <row r="93" spans="1:58" x14ac:dyDescent="0.2">
      <c r="A93" s="174"/>
      <c r="B93" s="174"/>
      <c r="C93" s="174"/>
      <c r="D93" s="174"/>
      <c r="E93" s="174"/>
      <c r="F93" s="174"/>
      <c r="G93" s="174"/>
      <c r="H93" s="174"/>
      <c r="I93" s="174"/>
      <c r="J93" s="174"/>
      <c r="K93" s="174"/>
      <c r="L93" s="174"/>
      <c r="M93" s="174"/>
      <c r="N93" s="174"/>
      <c r="O93" s="174"/>
      <c r="P93" s="174"/>
      <c r="Q93" s="174"/>
      <c r="R93" s="174"/>
      <c r="S93" s="174"/>
      <c r="T93" s="174"/>
      <c r="U93" s="174"/>
      <c r="V93" s="174"/>
      <c r="W93" s="183" t="s">
        <v>1473</v>
      </c>
      <c r="X93" s="174"/>
      <c r="Y93" s="174"/>
      <c r="Z93" s="174"/>
      <c r="AA93" s="205"/>
      <c r="AB93" s="205"/>
      <c r="AC93" s="174" t="s">
        <v>1229</v>
      </c>
      <c r="AD93" s="174" t="s">
        <v>1148</v>
      </c>
      <c r="AE93" s="183" t="s">
        <v>1229</v>
      </c>
      <c r="AF93" s="174" t="s">
        <v>1549</v>
      </c>
      <c r="AG93" s="183"/>
      <c r="AH93" s="174"/>
      <c r="AI93" s="176"/>
      <c r="AJ93" s="205"/>
      <c r="AK93" s="205"/>
      <c r="AL93" s="205"/>
      <c r="AM93" s="205"/>
      <c r="AN93" s="205"/>
      <c r="AO93" s="174"/>
      <c r="AP93" s="174"/>
      <c r="AQ93" s="174"/>
      <c r="AR93" s="174"/>
      <c r="AS93" s="174"/>
      <c r="AT93" s="174"/>
      <c r="AU93" s="174"/>
      <c r="AV93" s="174"/>
      <c r="AW93" s="176"/>
      <c r="AX93" s="129"/>
      <c r="AY93" s="129"/>
      <c r="AZ93" s="129"/>
      <c r="BA93" s="129"/>
      <c r="BB93" s="129"/>
      <c r="BC93" s="129"/>
      <c r="BD93" s="129"/>
      <c r="BE93" s="129"/>
      <c r="BF93" s="129"/>
    </row>
    <row r="94" spans="1:58" s="140" customFormat="1" x14ac:dyDescent="0.2">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205"/>
      <c r="AB94" s="205"/>
      <c r="AC94" s="213" t="s">
        <v>1473</v>
      </c>
      <c r="AD94" s="183" t="s">
        <v>1148</v>
      </c>
      <c r="AE94" s="190" t="s">
        <v>794</v>
      </c>
      <c r="AF94" s="190" t="s">
        <v>1479</v>
      </c>
      <c r="AG94" s="183"/>
      <c r="AH94" s="183"/>
      <c r="AI94" s="192" t="s">
        <v>1588</v>
      </c>
      <c r="AJ94" s="205"/>
      <c r="AK94" s="205"/>
      <c r="AL94" s="205"/>
      <c r="AM94" s="205"/>
      <c r="AN94" s="205"/>
      <c r="AO94" s="183"/>
      <c r="AP94" s="183"/>
      <c r="AQ94" s="183"/>
      <c r="AR94" s="183"/>
      <c r="AS94" s="183"/>
      <c r="AT94" s="183"/>
      <c r="AU94" s="183"/>
      <c r="AV94" s="183"/>
      <c r="AW94" s="185"/>
      <c r="AX94" s="130"/>
      <c r="AY94" s="130"/>
      <c r="AZ94" s="130"/>
      <c r="BA94" s="130"/>
      <c r="BB94" s="130"/>
      <c r="BC94" s="130"/>
      <c r="BD94" s="130"/>
      <c r="BE94" s="130"/>
      <c r="BF94" s="130"/>
    </row>
    <row r="95" spans="1:58" s="140" customFormat="1" x14ac:dyDescent="0.2">
      <c r="A95" s="171" t="s">
        <v>1416</v>
      </c>
      <c r="B95" s="171" t="s">
        <v>601</v>
      </c>
      <c r="C95" s="171" t="s">
        <v>507</v>
      </c>
      <c r="D95" s="172" t="s">
        <v>331</v>
      </c>
      <c r="E95" s="171" t="s">
        <v>337</v>
      </c>
      <c r="F95" s="171"/>
      <c r="G95" s="172" t="s">
        <v>157</v>
      </c>
      <c r="H95" s="172"/>
      <c r="I95" s="172" t="s">
        <v>594</v>
      </c>
      <c r="J95" s="172" t="s">
        <v>884</v>
      </c>
      <c r="K95" s="172" t="s">
        <v>777</v>
      </c>
      <c r="L95" s="172" t="s">
        <v>332</v>
      </c>
      <c r="M95" s="172" t="s">
        <v>44</v>
      </c>
      <c r="N95" s="172" t="s">
        <v>302</v>
      </c>
      <c r="O95" s="172" t="s">
        <v>342</v>
      </c>
      <c r="P95" s="173">
        <v>44312</v>
      </c>
      <c r="Q95" s="171" t="s">
        <v>1052</v>
      </c>
      <c r="R95" s="171" t="s">
        <v>1052</v>
      </c>
      <c r="S95" s="172" t="s">
        <v>36</v>
      </c>
      <c r="T95" s="171"/>
      <c r="U95" s="171"/>
      <c r="V95" s="171"/>
      <c r="W95" s="171"/>
      <c r="X95" s="172"/>
      <c r="Y95" s="171"/>
      <c r="Z95" s="174"/>
      <c r="AA95" s="175"/>
      <c r="AB95" s="175"/>
      <c r="AC95" s="174" t="s">
        <v>332</v>
      </c>
      <c r="AD95" s="174" t="s">
        <v>332</v>
      </c>
      <c r="AE95" s="174" t="s">
        <v>332</v>
      </c>
      <c r="AF95" s="174" t="s">
        <v>1549</v>
      </c>
      <c r="AG95" s="174"/>
      <c r="AH95" s="174"/>
      <c r="AI95" s="176" t="s">
        <v>963</v>
      </c>
      <c r="AJ95" s="177"/>
      <c r="AK95" s="177" t="s">
        <v>332</v>
      </c>
      <c r="AL95" s="177"/>
      <c r="AM95" s="177"/>
      <c r="AN95" s="177" t="s">
        <v>963</v>
      </c>
      <c r="AO95" s="174"/>
      <c r="AP95" s="174"/>
      <c r="AQ95" s="174"/>
      <c r="AR95" s="174"/>
      <c r="AS95" s="174"/>
      <c r="AT95" s="174"/>
      <c r="AU95" s="174"/>
      <c r="AV95" s="174"/>
      <c r="AW95" s="176"/>
    </row>
    <row r="96" spans="1:58" s="140" customFormat="1" x14ac:dyDescent="0.2">
      <c r="A96" s="171" t="s">
        <v>1416</v>
      </c>
      <c r="B96" s="171" t="s">
        <v>601</v>
      </c>
      <c r="C96" s="171" t="s">
        <v>507</v>
      </c>
      <c r="D96" s="172" t="s">
        <v>331</v>
      </c>
      <c r="E96" s="171" t="s">
        <v>162</v>
      </c>
      <c r="F96" s="171"/>
      <c r="G96" s="172" t="s">
        <v>49</v>
      </c>
      <c r="H96" s="178">
        <v>42005</v>
      </c>
      <c r="I96" s="172" t="s">
        <v>594</v>
      </c>
      <c r="J96" s="172" t="s">
        <v>884</v>
      </c>
      <c r="K96" s="171" t="s">
        <v>879</v>
      </c>
      <c r="L96" s="172" t="s">
        <v>781</v>
      </c>
      <c r="M96" s="172" t="s">
        <v>49</v>
      </c>
      <c r="N96" s="172"/>
      <c r="O96" s="172" t="s">
        <v>342</v>
      </c>
      <c r="P96" s="173">
        <v>44312</v>
      </c>
      <c r="Q96" s="171" t="s">
        <v>1055</v>
      </c>
      <c r="R96" s="171" t="s">
        <v>1055</v>
      </c>
      <c r="S96" s="173"/>
      <c r="T96" s="171"/>
      <c r="U96" s="171"/>
      <c r="V96" s="171"/>
      <c r="W96" s="171"/>
      <c r="X96" s="172"/>
      <c r="Y96" s="171"/>
      <c r="Z96" s="174"/>
      <c r="AA96" s="175"/>
      <c r="AB96" s="175"/>
      <c r="AC96" s="174" t="s">
        <v>332</v>
      </c>
      <c r="AD96" s="174" t="s">
        <v>332</v>
      </c>
      <c r="AE96" s="174" t="s">
        <v>781</v>
      </c>
      <c r="AF96" s="174" t="s">
        <v>1549</v>
      </c>
      <c r="AG96" s="174"/>
      <c r="AH96" s="174"/>
      <c r="AI96" s="176" t="s">
        <v>1056</v>
      </c>
      <c r="AJ96" s="177"/>
      <c r="AK96" s="177" t="s">
        <v>781</v>
      </c>
      <c r="AL96" s="177"/>
      <c r="AM96" s="177"/>
      <c r="AN96" s="177" t="s">
        <v>1056</v>
      </c>
      <c r="AO96" s="174"/>
      <c r="AP96" s="174"/>
      <c r="AQ96" s="174"/>
      <c r="AR96" s="174"/>
      <c r="AS96" s="174"/>
      <c r="AT96" s="174"/>
      <c r="AU96" s="174"/>
      <c r="AV96" s="174"/>
      <c r="AW96" s="176"/>
    </row>
    <row r="97" spans="1:58" s="140" customFormat="1" x14ac:dyDescent="0.2">
      <c r="A97" s="171" t="s">
        <v>1416</v>
      </c>
      <c r="B97" s="171" t="s">
        <v>601</v>
      </c>
      <c r="C97" s="171" t="s">
        <v>507</v>
      </c>
      <c r="D97" s="172" t="s">
        <v>331</v>
      </c>
      <c r="E97" s="171" t="s">
        <v>338</v>
      </c>
      <c r="F97" s="171"/>
      <c r="G97" s="172" t="s">
        <v>45</v>
      </c>
      <c r="H97" s="172">
        <v>2000</v>
      </c>
      <c r="I97" s="172" t="s">
        <v>594</v>
      </c>
      <c r="J97" s="172" t="s">
        <v>884</v>
      </c>
      <c r="K97" s="172" t="s">
        <v>778</v>
      </c>
      <c r="L97" s="172" t="s">
        <v>332</v>
      </c>
      <c r="M97" s="172" t="s">
        <v>45</v>
      </c>
      <c r="N97" s="172" t="s">
        <v>275</v>
      </c>
      <c r="O97" s="172" t="s">
        <v>342</v>
      </c>
      <c r="P97" s="173">
        <v>44312</v>
      </c>
      <c r="Q97" s="171" t="s">
        <v>778</v>
      </c>
      <c r="R97" s="171" t="s">
        <v>778</v>
      </c>
      <c r="S97" s="172" t="s">
        <v>36</v>
      </c>
      <c r="T97" s="171"/>
      <c r="U97" s="171"/>
      <c r="V97" s="171"/>
      <c r="W97" s="171"/>
      <c r="X97" s="172"/>
      <c r="Y97" s="171"/>
      <c r="Z97" s="174"/>
      <c r="AA97" s="175"/>
      <c r="AB97" s="175"/>
      <c r="AC97" s="174" t="s">
        <v>332</v>
      </c>
      <c r="AD97" s="174" t="s">
        <v>332</v>
      </c>
      <c r="AE97" s="174" t="s">
        <v>332</v>
      </c>
      <c r="AF97" s="174" t="s">
        <v>1549</v>
      </c>
      <c r="AG97" s="174"/>
      <c r="AH97" s="174"/>
      <c r="AI97" s="176" t="s">
        <v>963</v>
      </c>
      <c r="AJ97" s="177"/>
      <c r="AK97" s="177" t="s">
        <v>332</v>
      </c>
      <c r="AL97" s="177"/>
      <c r="AM97" s="177">
        <f>SUBTOTAL(9,H97:Y97)</f>
        <v>46312</v>
      </c>
      <c r="AN97" s="177" t="s">
        <v>963</v>
      </c>
      <c r="AO97" s="174"/>
      <c r="AP97" s="174"/>
      <c r="AQ97" s="174"/>
      <c r="AR97" s="174"/>
      <c r="AS97" s="174"/>
      <c r="AT97" s="174"/>
      <c r="AU97" s="174"/>
      <c r="AV97" s="174"/>
      <c r="AW97" s="176"/>
    </row>
    <row r="98" spans="1:58" s="140" customFormat="1" x14ac:dyDescent="0.2">
      <c r="A98" s="171" t="s">
        <v>1416</v>
      </c>
      <c r="B98" s="171" t="s">
        <v>601</v>
      </c>
      <c r="C98" s="171" t="s">
        <v>507</v>
      </c>
      <c r="D98" s="172" t="s">
        <v>331</v>
      </c>
      <c r="E98" s="171" t="s">
        <v>0</v>
      </c>
      <c r="F98" s="171"/>
      <c r="G98" s="172" t="s">
        <v>157</v>
      </c>
      <c r="H98" s="172">
        <v>123</v>
      </c>
      <c r="I98" s="172" t="s">
        <v>594</v>
      </c>
      <c r="J98" s="172" t="s">
        <v>884</v>
      </c>
      <c r="K98" s="171" t="s">
        <v>775</v>
      </c>
      <c r="L98" s="172" t="s">
        <v>332</v>
      </c>
      <c r="M98" s="172" t="s">
        <v>44</v>
      </c>
      <c r="N98" s="172"/>
      <c r="O98" s="172" t="s">
        <v>342</v>
      </c>
      <c r="P98" s="173">
        <v>44312</v>
      </c>
      <c r="Q98" s="171" t="s">
        <v>775</v>
      </c>
      <c r="R98" s="171" t="s">
        <v>775</v>
      </c>
      <c r="S98" s="172" t="s">
        <v>36</v>
      </c>
      <c r="T98" s="171"/>
      <c r="U98" s="171"/>
      <c r="V98" s="171"/>
      <c r="W98" s="171"/>
      <c r="X98" s="172"/>
      <c r="Y98" s="171"/>
      <c r="Z98" s="174"/>
      <c r="AA98" s="175"/>
      <c r="AB98" s="175"/>
      <c r="AC98" s="174" t="s">
        <v>332</v>
      </c>
      <c r="AD98" s="174" t="s">
        <v>332</v>
      </c>
      <c r="AE98" s="174" t="s">
        <v>332</v>
      </c>
      <c r="AF98" s="174" t="s">
        <v>1549</v>
      </c>
      <c r="AG98" s="174"/>
      <c r="AH98" s="174"/>
      <c r="AI98" s="176" t="s">
        <v>963</v>
      </c>
      <c r="AJ98" s="177"/>
      <c r="AK98" s="177" t="s">
        <v>332</v>
      </c>
      <c r="AL98" s="177"/>
      <c r="AM98" s="177">
        <f>SUBTOTAL(9,H98:Y98)</f>
        <v>44435</v>
      </c>
      <c r="AN98" s="177" t="s">
        <v>963</v>
      </c>
      <c r="AO98" s="174"/>
      <c r="AP98" s="174"/>
      <c r="AQ98" s="174"/>
      <c r="AR98" s="174"/>
      <c r="AS98" s="174"/>
      <c r="AT98" s="174"/>
      <c r="AU98" s="174"/>
      <c r="AV98" s="174"/>
      <c r="AW98" s="176"/>
    </row>
    <row r="99" spans="1:58" s="140" customFormat="1" ht="38.25" x14ac:dyDescent="0.2">
      <c r="A99" s="171" t="s">
        <v>1416</v>
      </c>
      <c r="B99" s="171" t="s">
        <v>601</v>
      </c>
      <c r="C99" s="171" t="s">
        <v>507</v>
      </c>
      <c r="D99" s="172" t="s">
        <v>331</v>
      </c>
      <c r="E99" s="171" t="s">
        <v>10</v>
      </c>
      <c r="F99" s="171"/>
      <c r="G99" s="172" t="s">
        <v>128</v>
      </c>
      <c r="H99" s="172" t="s">
        <v>279</v>
      </c>
      <c r="I99" s="172" t="s">
        <v>594</v>
      </c>
      <c r="J99" s="172" t="s">
        <v>884</v>
      </c>
      <c r="K99" s="171" t="s">
        <v>880</v>
      </c>
      <c r="L99" s="172" t="s">
        <v>882</v>
      </c>
      <c r="M99" s="172" t="s">
        <v>128</v>
      </c>
      <c r="N99" s="172" t="s">
        <v>881</v>
      </c>
      <c r="O99" s="172" t="s">
        <v>342</v>
      </c>
      <c r="P99" s="173">
        <v>44312</v>
      </c>
      <c r="Q99" s="171" t="s">
        <v>880</v>
      </c>
      <c r="R99" s="171" t="s">
        <v>880</v>
      </c>
      <c r="S99" s="173"/>
      <c r="T99" s="171"/>
      <c r="U99" s="171"/>
      <c r="V99" s="171"/>
      <c r="W99" s="171"/>
      <c r="X99" s="172"/>
      <c r="Y99" s="171"/>
      <c r="Z99" s="174"/>
      <c r="AA99" s="175"/>
      <c r="AB99" s="175"/>
      <c r="AC99" s="174" t="s">
        <v>332</v>
      </c>
      <c r="AD99" s="174" t="s">
        <v>332</v>
      </c>
      <c r="AE99" s="174" t="s">
        <v>882</v>
      </c>
      <c r="AF99" s="174" t="s">
        <v>1549</v>
      </c>
      <c r="AG99" s="174"/>
      <c r="AH99" s="174"/>
      <c r="AI99" s="176"/>
      <c r="AJ99" s="177"/>
      <c r="AK99" s="177" t="s">
        <v>882</v>
      </c>
      <c r="AL99" s="177"/>
      <c r="AM99" s="177"/>
      <c r="AN99" s="177" t="s">
        <v>963</v>
      </c>
      <c r="AO99" s="174"/>
      <c r="AP99" s="174"/>
      <c r="AQ99" s="174"/>
      <c r="AR99" s="174"/>
      <c r="AS99" s="174"/>
      <c r="AT99" s="174"/>
      <c r="AU99" s="174"/>
      <c r="AV99" s="174"/>
      <c r="AW99" s="176"/>
    </row>
    <row r="100" spans="1:58" s="140" customFormat="1" ht="25.5" x14ac:dyDescent="0.2">
      <c r="A100" s="171" t="s">
        <v>1416</v>
      </c>
      <c r="B100" s="171" t="s">
        <v>601</v>
      </c>
      <c r="C100" s="171" t="s">
        <v>507</v>
      </c>
      <c r="D100" s="172" t="s">
        <v>331</v>
      </c>
      <c r="E100" s="171" t="s">
        <v>199</v>
      </c>
      <c r="F100" s="171"/>
      <c r="G100" s="172" t="s">
        <v>157</v>
      </c>
      <c r="H100" s="172"/>
      <c r="I100" s="172" t="s">
        <v>594</v>
      </c>
      <c r="J100" s="172" t="s">
        <v>884</v>
      </c>
      <c r="K100" s="172" t="s">
        <v>570</v>
      </c>
      <c r="L100" s="172" t="s">
        <v>332</v>
      </c>
      <c r="M100" s="172" t="s">
        <v>883</v>
      </c>
      <c r="N100" s="172" t="s">
        <v>305</v>
      </c>
      <c r="O100" s="172" t="s">
        <v>342</v>
      </c>
      <c r="P100" s="173">
        <v>44312</v>
      </c>
      <c r="Q100" s="171" t="s">
        <v>570</v>
      </c>
      <c r="R100" s="171" t="s">
        <v>570</v>
      </c>
      <c r="S100" s="172" t="s">
        <v>36</v>
      </c>
      <c r="T100" s="171"/>
      <c r="U100" s="171"/>
      <c r="V100" s="171"/>
      <c r="W100" s="171"/>
      <c r="X100" s="172"/>
      <c r="Y100" s="171"/>
      <c r="Z100" s="174"/>
      <c r="AA100" s="175"/>
      <c r="AB100" s="175"/>
      <c r="AC100" s="174" t="s">
        <v>332</v>
      </c>
      <c r="AD100" s="174" t="s">
        <v>332</v>
      </c>
      <c r="AE100" s="174" t="s">
        <v>332</v>
      </c>
      <c r="AF100" s="174" t="s">
        <v>1549</v>
      </c>
      <c r="AG100" s="174"/>
      <c r="AH100" s="174"/>
      <c r="AI100" s="176" t="s">
        <v>963</v>
      </c>
      <c r="AJ100" s="177"/>
      <c r="AK100" s="177" t="s">
        <v>332</v>
      </c>
      <c r="AL100" s="177"/>
      <c r="AM100" s="177"/>
      <c r="AN100" s="177" t="s">
        <v>963</v>
      </c>
      <c r="AO100" s="174"/>
      <c r="AP100" s="174"/>
      <c r="AQ100" s="174"/>
      <c r="AR100" s="174"/>
      <c r="AS100" s="174"/>
      <c r="AT100" s="174"/>
      <c r="AU100" s="174"/>
      <c r="AV100" s="174"/>
      <c r="AW100" s="176"/>
    </row>
    <row r="101" spans="1:58" s="140" customFormat="1" ht="25.5" x14ac:dyDescent="0.2">
      <c r="A101" s="171" t="s">
        <v>1416</v>
      </c>
      <c r="B101" s="171" t="s">
        <v>601</v>
      </c>
      <c r="C101" s="171" t="s">
        <v>507</v>
      </c>
      <c r="D101" s="172" t="s">
        <v>331</v>
      </c>
      <c r="E101" s="171" t="s">
        <v>340</v>
      </c>
      <c r="F101" s="171"/>
      <c r="G101" s="172" t="s">
        <v>130</v>
      </c>
      <c r="H101" s="172" t="b">
        <v>0</v>
      </c>
      <c r="I101" s="172" t="s">
        <v>594</v>
      </c>
      <c r="J101" s="172" t="s">
        <v>884</v>
      </c>
      <c r="K101" s="171" t="s">
        <v>562</v>
      </c>
      <c r="L101" s="172" t="s">
        <v>378</v>
      </c>
      <c r="M101" s="172" t="s">
        <v>130</v>
      </c>
      <c r="N101" s="172" t="s">
        <v>327</v>
      </c>
      <c r="O101" s="172" t="s">
        <v>342</v>
      </c>
      <c r="P101" s="173">
        <v>44312</v>
      </c>
      <c r="Q101" s="171" t="s">
        <v>562</v>
      </c>
      <c r="R101" s="171" t="s">
        <v>562</v>
      </c>
      <c r="S101" s="173"/>
      <c r="T101" s="171"/>
      <c r="U101" s="171"/>
      <c r="V101" s="171"/>
      <c r="W101" s="171"/>
      <c r="X101" s="172"/>
      <c r="Y101" s="171"/>
      <c r="Z101" s="174"/>
      <c r="AA101" s="175"/>
      <c r="AB101" s="175"/>
      <c r="AC101" s="174" t="s">
        <v>332</v>
      </c>
      <c r="AD101" s="174" t="s">
        <v>332</v>
      </c>
      <c r="AE101" s="174" t="s">
        <v>378</v>
      </c>
      <c r="AF101" s="174" t="s">
        <v>1549</v>
      </c>
      <c r="AG101" s="174"/>
      <c r="AH101" s="174"/>
      <c r="AI101" s="176"/>
      <c r="AJ101" s="177"/>
      <c r="AK101" s="177" t="s">
        <v>378</v>
      </c>
      <c r="AL101" s="177"/>
      <c r="AM101" s="177">
        <f>SUBTOTAL(9,H101:Y101)</f>
        <v>44312</v>
      </c>
      <c r="AN101" s="177" t="s">
        <v>963</v>
      </c>
      <c r="AO101" s="174"/>
      <c r="AP101" s="174"/>
      <c r="AQ101" s="174"/>
      <c r="AR101" s="174"/>
      <c r="AS101" s="174"/>
      <c r="AT101" s="174"/>
      <c r="AU101" s="174"/>
      <c r="AV101" s="174"/>
      <c r="AW101" s="176"/>
    </row>
    <row r="102" spans="1:58" s="140" customFormat="1" ht="25.5" x14ac:dyDescent="0.2">
      <c r="A102" s="171" t="s">
        <v>1416</v>
      </c>
      <c r="B102" s="171" t="s">
        <v>601</v>
      </c>
      <c r="C102" s="171" t="s">
        <v>507</v>
      </c>
      <c r="D102" s="172" t="s">
        <v>331</v>
      </c>
      <c r="E102" s="171" t="s">
        <v>339</v>
      </c>
      <c r="F102" s="171"/>
      <c r="G102" s="172" t="s">
        <v>130</v>
      </c>
      <c r="H102" s="172" t="b">
        <v>0</v>
      </c>
      <c r="I102" s="172" t="s">
        <v>594</v>
      </c>
      <c r="J102" s="172" t="s">
        <v>884</v>
      </c>
      <c r="K102" s="172" t="s">
        <v>779</v>
      </c>
      <c r="L102" s="172" t="s">
        <v>780</v>
      </c>
      <c r="M102" s="172" t="s">
        <v>130</v>
      </c>
      <c r="N102" s="172" t="s">
        <v>328</v>
      </c>
      <c r="O102" s="172" t="s">
        <v>342</v>
      </c>
      <c r="P102" s="173">
        <v>44312</v>
      </c>
      <c r="Q102" s="171" t="s">
        <v>779</v>
      </c>
      <c r="R102" s="171" t="s">
        <v>779</v>
      </c>
      <c r="S102" s="173"/>
      <c r="T102" s="171"/>
      <c r="U102" s="171"/>
      <c r="V102" s="171"/>
      <c r="W102" s="171"/>
      <c r="X102" s="172"/>
      <c r="Y102" s="171"/>
      <c r="Z102" s="174"/>
      <c r="AA102" s="175"/>
      <c r="AB102" s="175"/>
      <c r="AC102" s="174" t="s">
        <v>332</v>
      </c>
      <c r="AD102" s="174" t="s">
        <v>332</v>
      </c>
      <c r="AE102" s="174" t="s">
        <v>780</v>
      </c>
      <c r="AF102" s="174" t="s">
        <v>1549</v>
      </c>
      <c r="AG102" s="174"/>
      <c r="AH102" s="174"/>
      <c r="AI102" s="176" t="s">
        <v>963</v>
      </c>
      <c r="AJ102" s="177"/>
      <c r="AK102" s="177" t="s">
        <v>780</v>
      </c>
      <c r="AL102" s="177"/>
      <c r="AM102" s="177">
        <f>SUBTOTAL(9,H102:Y102)</f>
        <v>44312</v>
      </c>
      <c r="AN102" s="177" t="s">
        <v>963</v>
      </c>
      <c r="AO102" s="174"/>
      <c r="AP102" s="174"/>
      <c r="AQ102" s="174"/>
      <c r="AR102" s="174"/>
      <c r="AS102" s="174"/>
      <c r="AT102" s="174"/>
      <c r="AU102" s="174"/>
      <c r="AV102" s="174"/>
      <c r="AW102" s="176"/>
    </row>
    <row r="103" spans="1:58" s="140" customFormat="1" x14ac:dyDescent="0.2">
      <c r="A103" s="171" t="s">
        <v>1416</v>
      </c>
      <c r="B103" s="171" t="s">
        <v>601</v>
      </c>
      <c r="C103" s="171" t="s">
        <v>507</v>
      </c>
      <c r="D103" s="172" t="s">
        <v>331</v>
      </c>
      <c r="E103" s="172" t="s">
        <v>3</v>
      </c>
      <c r="F103" s="172"/>
      <c r="G103" s="172" t="s">
        <v>45</v>
      </c>
      <c r="H103" s="172">
        <v>1000</v>
      </c>
      <c r="I103" s="172" t="s">
        <v>594</v>
      </c>
      <c r="J103" s="172" t="s">
        <v>884</v>
      </c>
      <c r="K103" s="171" t="s">
        <v>564</v>
      </c>
      <c r="L103" s="172" t="s">
        <v>565</v>
      </c>
      <c r="M103" s="172" t="s">
        <v>45</v>
      </c>
      <c r="N103" s="172"/>
      <c r="O103" s="172" t="s">
        <v>342</v>
      </c>
      <c r="P103" s="173">
        <v>44312</v>
      </c>
      <c r="Q103" s="171" t="s">
        <v>564</v>
      </c>
      <c r="R103" s="171" t="s">
        <v>564</v>
      </c>
      <c r="S103" s="173"/>
      <c r="T103" s="171"/>
      <c r="U103" s="171"/>
      <c r="V103" s="171"/>
      <c r="W103" s="171"/>
      <c r="X103" s="172"/>
      <c r="Y103" s="171"/>
      <c r="Z103" s="174"/>
      <c r="AA103" s="175"/>
      <c r="AB103" s="175"/>
      <c r="AC103" s="174" t="s">
        <v>332</v>
      </c>
      <c r="AD103" s="174" t="s">
        <v>332</v>
      </c>
      <c r="AE103" s="174" t="s">
        <v>565</v>
      </c>
      <c r="AF103" s="174" t="s">
        <v>1549</v>
      </c>
      <c r="AG103" s="174"/>
      <c r="AH103" s="174"/>
      <c r="AI103" s="176" t="s">
        <v>963</v>
      </c>
      <c r="AJ103" s="177"/>
      <c r="AK103" s="177" t="s">
        <v>565</v>
      </c>
      <c r="AL103" s="177"/>
      <c r="AM103" s="177">
        <f>SUBTOTAL(9,H103:Y103)</f>
        <v>45312</v>
      </c>
      <c r="AN103" s="177" t="s">
        <v>963</v>
      </c>
      <c r="AO103" s="174"/>
      <c r="AP103" s="174"/>
      <c r="AQ103" s="174"/>
      <c r="AR103" s="174"/>
      <c r="AS103" s="174"/>
      <c r="AT103" s="174"/>
      <c r="AU103" s="174"/>
      <c r="AV103" s="174"/>
      <c r="AW103" s="176"/>
    </row>
    <row r="104" spans="1:58" s="140" customFormat="1" x14ac:dyDescent="0.2">
      <c r="A104" s="171" t="s">
        <v>1416</v>
      </c>
      <c r="B104" s="171" t="s">
        <v>601</v>
      </c>
      <c r="C104" s="171" t="s">
        <v>507</v>
      </c>
      <c r="D104" s="172" t="s">
        <v>331</v>
      </c>
      <c r="E104" s="172" t="s">
        <v>17</v>
      </c>
      <c r="F104" s="172"/>
      <c r="G104" s="172" t="s">
        <v>45</v>
      </c>
      <c r="H104" s="172"/>
      <c r="I104" s="172" t="s">
        <v>594</v>
      </c>
      <c r="J104" s="172" t="s">
        <v>884</v>
      </c>
      <c r="K104" s="171" t="s">
        <v>559</v>
      </c>
      <c r="L104" s="172" t="s">
        <v>377</v>
      </c>
      <c r="M104" s="172" t="s">
        <v>45</v>
      </c>
      <c r="N104" s="172"/>
      <c r="O104" s="172" t="s">
        <v>342</v>
      </c>
      <c r="P104" s="173">
        <v>44312</v>
      </c>
      <c r="Q104" s="171" t="s">
        <v>559</v>
      </c>
      <c r="R104" s="171" t="s">
        <v>559</v>
      </c>
      <c r="S104" s="173"/>
      <c r="T104" s="171"/>
      <c r="U104" s="171"/>
      <c r="V104" s="171"/>
      <c r="W104" s="171"/>
      <c r="X104" s="172"/>
      <c r="Y104" s="171"/>
      <c r="Z104" s="174"/>
      <c r="AA104" s="175"/>
      <c r="AB104" s="175"/>
      <c r="AC104" s="174" t="s">
        <v>332</v>
      </c>
      <c r="AD104" s="174" t="s">
        <v>332</v>
      </c>
      <c r="AE104" s="174" t="s">
        <v>377</v>
      </c>
      <c r="AF104" s="174" t="s">
        <v>1549</v>
      </c>
      <c r="AG104" s="174"/>
      <c r="AH104" s="174"/>
      <c r="AI104" s="176" t="s">
        <v>1041</v>
      </c>
      <c r="AJ104" s="177"/>
      <c r="AK104" s="177" t="s">
        <v>377</v>
      </c>
      <c r="AL104" s="177"/>
      <c r="AM104" s="177"/>
      <c r="AN104" s="177" t="s">
        <v>1041</v>
      </c>
      <c r="AO104" s="174"/>
      <c r="AP104" s="174"/>
      <c r="AQ104" s="174"/>
      <c r="AR104" s="174"/>
      <c r="AS104" s="174"/>
      <c r="AT104" s="174"/>
      <c r="AU104" s="174"/>
      <c r="AV104" s="174"/>
      <c r="AW104" s="176"/>
    </row>
    <row r="105" spans="1:58" s="37" customFormat="1" x14ac:dyDescent="0.2">
      <c r="A105" s="171" t="s">
        <v>1416</v>
      </c>
      <c r="B105" s="171" t="s">
        <v>601</v>
      </c>
      <c r="C105" s="171" t="s">
        <v>507</v>
      </c>
      <c r="D105" s="172" t="s">
        <v>331</v>
      </c>
      <c r="E105" s="171" t="s">
        <v>22</v>
      </c>
      <c r="F105" s="171"/>
      <c r="G105" s="172" t="s">
        <v>157</v>
      </c>
      <c r="H105" s="172"/>
      <c r="I105" s="172" t="s">
        <v>594</v>
      </c>
      <c r="J105" s="172" t="s">
        <v>884</v>
      </c>
      <c r="K105" s="172" t="s">
        <v>572</v>
      </c>
      <c r="L105" s="172" t="s">
        <v>332</v>
      </c>
      <c r="M105" s="172" t="s">
        <v>44</v>
      </c>
      <c r="N105" s="172" t="s">
        <v>300</v>
      </c>
      <c r="O105" s="172" t="s">
        <v>342</v>
      </c>
      <c r="P105" s="173">
        <v>44312</v>
      </c>
      <c r="Q105" s="171" t="s">
        <v>572</v>
      </c>
      <c r="R105" s="171" t="s">
        <v>572</v>
      </c>
      <c r="S105" s="172" t="s">
        <v>36</v>
      </c>
      <c r="T105" s="171"/>
      <c r="U105" s="171"/>
      <c r="V105" s="171"/>
      <c r="W105" s="171"/>
      <c r="X105" s="172"/>
      <c r="Y105" s="171"/>
      <c r="Z105" s="174"/>
      <c r="AA105" s="175"/>
      <c r="AB105" s="175"/>
      <c r="AC105" s="174" t="s">
        <v>332</v>
      </c>
      <c r="AD105" s="174" t="s">
        <v>332</v>
      </c>
      <c r="AE105" s="174" t="s">
        <v>332</v>
      </c>
      <c r="AF105" s="174" t="s">
        <v>1549</v>
      </c>
      <c r="AG105" s="174"/>
      <c r="AH105" s="174"/>
      <c r="AI105" s="176" t="s">
        <v>963</v>
      </c>
      <c r="AJ105" s="177"/>
      <c r="AK105" s="177" t="s">
        <v>332</v>
      </c>
      <c r="AL105" s="177"/>
      <c r="AM105" s="177"/>
      <c r="AN105" s="177" t="s">
        <v>963</v>
      </c>
      <c r="AO105" s="174"/>
      <c r="AP105" s="174"/>
      <c r="AQ105" s="174"/>
      <c r="AR105" s="174"/>
      <c r="AS105" s="174"/>
      <c r="AT105" s="174"/>
      <c r="AU105" s="174"/>
      <c r="AV105" s="174"/>
      <c r="AW105" s="176"/>
      <c r="AX105" s="140"/>
      <c r="AY105" s="140"/>
      <c r="AZ105" s="140"/>
      <c r="BA105" s="140"/>
      <c r="BB105" s="140"/>
      <c r="BC105" s="140"/>
      <c r="BD105" s="140"/>
      <c r="BE105" s="140"/>
      <c r="BF105" s="140"/>
    </row>
    <row r="106" spans="1:58" s="37" customFormat="1" ht="38.25" x14ac:dyDescent="0.2">
      <c r="A106" s="171" t="s">
        <v>1416</v>
      </c>
      <c r="B106" s="171" t="s">
        <v>601</v>
      </c>
      <c r="C106" s="171" t="s">
        <v>507</v>
      </c>
      <c r="D106" s="172" t="s">
        <v>331</v>
      </c>
      <c r="E106" s="171" t="s">
        <v>335</v>
      </c>
      <c r="F106" s="171"/>
      <c r="G106" s="172" t="s">
        <v>157</v>
      </c>
      <c r="H106" s="172"/>
      <c r="I106" s="172" t="s">
        <v>594</v>
      </c>
      <c r="J106" s="172" t="s">
        <v>884</v>
      </c>
      <c r="K106" s="171" t="s">
        <v>776</v>
      </c>
      <c r="L106" s="172" t="s">
        <v>332</v>
      </c>
      <c r="M106" s="172" t="s">
        <v>44</v>
      </c>
      <c r="N106" s="172" t="s">
        <v>739</v>
      </c>
      <c r="O106" s="172" t="s">
        <v>342</v>
      </c>
      <c r="P106" s="173">
        <v>44312</v>
      </c>
      <c r="Q106" s="171" t="s">
        <v>776</v>
      </c>
      <c r="R106" s="171" t="s">
        <v>776</v>
      </c>
      <c r="S106" s="172" t="s">
        <v>36</v>
      </c>
      <c r="T106" s="171"/>
      <c r="U106" s="171"/>
      <c r="V106" s="171"/>
      <c r="W106" s="171"/>
      <c r="X106" s="172"/>
      <c r="Y106" s="171"/>
      <c r="Z106" s="174"/>
      <c r="AA106" s="175"/>
      <c r="AB106" s="175"/>
      <c r="AC106" s="174" t="s">
        <v>332</v>
      </c>
      <c r="AD106" s="174" t="s">
        <v>332</v>
      </c>
      <c r="AE106" s="174" t="s">
        <v>332</v>
      </c>
      <c r="AF106" s="174" t="s">
        <v>1549</v>
      </c>
      <c r="AG106" s="174"/>
      <c r="AH106" s="174"/>
      <c r="AI106" s="176" t="s">
        <v>1057</v>
      </c>
      <c r="AJ106" s="177"/>
      <c r="AK106" s="177" t="s">
        <v>332</v>
      </c>
      <c r="AL106" s="177"/>
      <c r="AM106" s="177"/>
      <c r="AN106" s="177" t="s">
        <v>1057</v>
      </c>
      <c r="AO106" s="174"/>
      <c r="AP106" s="174"/>
      <c r="AQ106" s="174"/>
      <c r="AR106" s="174"/>
      <c r="AS106" s="174"/>
      <c r="AT106" s="174"/>
      <c r="AU106" s="174"/>
      <c r="AV106" s="174"/>
      <c r="AW106" s="176"/>
      <c r="AX106" s="140"/>
      <c r="AY106" s="140"/>
      <c r="AZ106" s="140"/>
      <c r="BA106" s="140"/>
      <c r="BB106" s="140"/>
      <c r="BC106" s="140"/>
      <c r="BD106" s="140"/>
      <c r="BE106" s="140"/>
      <c r="BF106" s="140"/>
    </row>
    <row r="107" spans="1:58" s="37" customFormat="1" x14ac:dyDescent="0.2">
      <c r="A107" s="171" t="s">
        <v>1416</v>
      </c>
      <c r="B107" s="171" t="s">
        <v>601</v>
      </c>
      <c r="C107" s="171" t="s">
        <v>507</v>
      </c>
      <c r="D107" s="172" t="s">
        <v>331</v>
      </c>
      <c r="E107" s="171" t="s">
        <v>2</v>
      </c>
      <c r="F107" s="171"/>
      <c r="G107" s="172" t="s">
        <v>157</v>
      </c>
      <c r="H107" s="172">
        <v>123</v>
      </c>
      <c r="I107" s="172" t="s">
        <v>594</v>
      </c>
      <c r="J107" s="172" t="s">
        <v>884</v>
      </c>
      <c r="K107" s="172" t="s">
        <v>569</v>
      </c>
      <c r="L107" s="172" t="s">
        <v>332</v>
      </c>
      <c r="M107" s="172" t="s">
        <v>44</v>
      </c>
      <c r="N107" s="172"/>
      <c r="O107" s="172" t="s">
        <v>342</v>
      </c>
      <c r="P107" s="173">
        <v>44312</v>
      </c>
      <c r="Q107" s="171" t="s">
        <v>669</v>
      </c>
      <c r="R107" s="171" t="s">
        <v>669</v>
      </c>
      <c r="S107" s="172" t="s">
        <v>36</v>
      </c>
      <c r="T107" s="171"/>
      <c r="U107" s="171"/>
      <c r="V107" s="171"/>
      <c r="W107" s="171"/>
      <c r="X107" s="172"/>
      <c r="Y107" s="171"/>
      <c r="Z107" s="174"/>
      <c r="AA107" s="175"/>
      <c r="AB107" s="175"/>
      <c r="AC107" s="174" t="s">
        <v>332</v>
      </c>
      <c r="AD107" s="174" t="s">
        <v>332</v>
      </c>
      <c r="AE107" s="174" t="s">
        <v>332</v>
      </c>
      <c r="AF107" s="174" t="s">
        <v>1549</v>
      </c>
      <c r="AG107" s="174"/>
      <c r="AH107" s="174"/>
      <c r="AI107" s="176" t="s">
        <v>1054</v>
      </c>
      <c r="AJ107" s="177"/>
      <c r="AK107" s="177" t="s">
        <v>332</v>
      </c>
      <c r="AL107" s="177"/>
      <c r="AM107" s="177">
        <f>SUBTOTAL(9,H107:Y107)</f>
        <v>44435</v>
      </c>
      <c r="AN107" s="177" t="s">
        <v>1054</v>
      </c>
      <c r="AO107" s="174"/>
      <c r="AP107" s="174"/>
      <c r="AQ107" s="174"/>
      <c r="AR107" s="174"/>
      <c r="AS107" s="174"/>
      <c r="AT107" s="174"/>
      <c r="AU107" s="174"/>
      <c r="AV107" s="174"/>
      <c r="AW107" s="176"/>
      <c r="AX107" s="140"/>
      <c r="AY107" s="140"/>
      <c r="AZ107" s="140"/>
      <c r="BA107" s="140"/>
      <c r="BB107" s="140"/>
      <c r="BC107" s="140"/>
      <c r="BD107" s="140"/>
      <c r="BE107" s="140"/>
      <c r="BF107" s="140"/>
    </row>
    <row r="108" spans="1:58" s="129" customFormat="1" ht="15" customHeight="1" x14ac:dyDescent="0.2">
      <c r="A108" s="171" t="s">
        <v>1416</v>
      </c>
      <c r="B108" s="171" t="s">
        <v>601</v>
      </c>
      <c r="C108" s="171" t="s">
        <v>507</v>
      </c>
      <c r="D108" s="172" t="s">
        <v>331</v>
      </c>
      <c r="E108" s="171" t="s">
        <v>334</v>
      </c>
      <c r="F108" s="171"/>
      <c r="G108" s="172" t="s">
        <v>45</v>
      </c>
      <c r="H108" s="179">
        <v>0.375</v>
      </c>
      <c r="I108" s="172" t="s">
        <v>594</v>
      </c>
      <c r="J108" s="172" t="s">
        <v>884</v>
      </c>
      <c r="K108" s="172" t="s">
        <v>392</v>
      </c>
      <c r="L108" s="172" t="s">
        <v>384</v>
      </c>
      <c r="M108" s="172" t="s">
        <v>45</v>
      </c>
      <c r="N108" s="172" t="s">
        <v>738</v>
      </c>
      <c r="O108" s="172" t="s">
        <v>342</v>
      </c>
      <c r="P108" s="173">
        <v>44312</v>
      </c>
      <c r="Q108" s="171" t="s">
        <v>392</v>
      </c>
      <c r="R108" s="171" t="s">
        <v>392</v>
      </c>
      <c r="S108" s="173"/>
      <c r="T108" s="171"/>
      <c r="U108" s="171"/>
      <c r="V108" s="171"/>
      <c r="W108" s="171"/>
      <c r="X108" s="172"/>
      <c r="Y108" s="171"/>
      <c r="Z108" s="174"/>
      <c r="AA108" s="175"/>
      <c r="AB108" s="175"/>
      <c r="AC108" s="174" t="s">
        <v>332</v>
      </c>
      <c r="AD108" s="174" t="s">
        <v>332</v>
      </c>
      <c r="AE108" s="174" t="s">
        <v>332</v>
      </c>
      <c r="AF108" s="174" t="s">
        <v>1549</v>
      </c>
      <c r="AG108" s="174"/>
      <c r="AH108" s="174"/>
      <c r="AI108" s="176" t="s">
        <v>1057</v>
      </c>
      <c r="AJ108" s="177"/>
      <c r="AK108" s="177" t="s">
        <v>384</v>
      </c>
      <c r="AL108" s="177"/>
      <c r="AM108" s="177">
        <f>SUBTOTAL(9,H108:Y108)</f>
        <v>44312.375</v>
      </c>
      <c r="AN108" s="177" t="s">
        <v>1057</v>
      </c>
      <c r="AO108" s="174"/>
      <c r="AP108" s="174"/>
      <c r="AQ108" s="174"/>
      <c r="AR108" s="174"/>
      <c r="AS108" s="174"/>
      <c r="AT108" s="174"/>
      <c r="AU108" s="174"/>
      <c r="AV108" s="174"/>
      <c r="AW108" s="176"/>
      <c r="AX108" s="140"/>
      <c r="AY108" s="140"/>
      <c r="AZ108" s="140"/>
      <c r="BA108" s="140"/>
      <c r="BB108" s="140"/>
      <c r="BC108" s="140"/>
      <c r="BD108" s="140"/>
      <c r="BE108" s="140"/>
      <c r="BF108" s="140"/>
    </row>
    <row r="109" spans="1:58" ht="76.5" x14ac:dyDescent="0.2">
      <c r="A109" s="180" t="s">
        <v>1416</v>
      </c>
      <c r="B109" s="180" t="s">
        <v>601</v>
      </c>
      <c r="C109" s="180" t="s">
        <v>507</v>
      </c>
      <c r="D109" s="181" t="s">
        <v>345</v>
      </c>
      <c r="E109" s="180" t="s">
        <v>159</v>
      </c>
      <c r="F109" s="180"/>
      <c r="G109" s="181" t="s">
        <v>157</v>
      </c>
      <c r="H109" s="181">
        <v>98</v>
      </c>
      <c r="I109" s="181" t="s">
        <v>594</v>
      </c>
      <c r="J109" s="181" t="s">
        <v>650</v>
      </c>
      <c r="K109" s="180" t="s">
        <v>159</v>
      </c>
      <c r="L109" s="180" t="s">
        <v>332</v>
      </c>
      <c r="M109" s="181" t="s">
        <v>157</v>
      </c>
      <c r="N109" s="181" t="s">
        <v>690</v>
      </c>
      <c r="O109" s="181" t="s">
        <v>548</v>
      </c>
      <c r="P109" s="194">
        <v>44278</v>
      </c>
      <c r="Q109" s="195" t="str">
        <f>K109</f>
        <v>absenceScheduleId</v>
      </c>
      <c r="R109" s="195" t="str">
        <f>K109</f>
        <v>absenceScheduleId</v>
      </c>
      <c r="S109" s="196" t="s">
        <v>36</v>
      </c>
      <c r="T109" s="180"/>
      <c r="U109" s="196"/>
      <c r="V109" s="195"/>
      <c r="W109" s="180"/>
      <c r="X109" s="195"/>
      <c r="Y109" s="195"/>
      <c r="Z109" s="183"/>
      <c r="AA109" s="175" t="s">
        <v>159</v>
      </c>
      <c r="AB109" s="175" t="s">
        <v>742</v>
      </c>
      <c r="AC109" s="183" t="s">
        <v>332</v>
      </c>
      <c r="AD109" s="183" t="s">
        <v>332</v>
      </c>
      <c r="AE109" s="183" t="s">
        <v>332</v>
      </c>
      <c r="AF109" s="183" t="s">
        <v>1549</v>
      </c>
      <c r="AG109" s="183" t="s">
        <v>157</v>
      </c>
      <c r="AH109" s="183"/>
      <c r="AI109" s="185"/>
      <c r="AJ109" s="177" t="s">
        <v>742</v>
      </c>
      <c r="AK109" s="177" t="s">
        <v>332</v>
      </c>
      <c r="AL109" s="177"/>
      <c r="AM109" s="177">
        <f>SUBTOTAL(9,H109:Y109)</f>
        <v>44376</v>
      </c>
      <c r="AN109" s="177" t="s">
        <v>963</v>
      </c>
      <c r="AO109" s="183"/>
      <c r="AP109" s="183"/>
      <c r="AQ109" s="183"/>
      <c r="AR109" s="183"/>
      <c r="AS109" s="183"/>
      <c r="AT109" s="183"/>
      <c r="AU109" s="183"/>
      <c r="AV109" s="183"/>
      <c r="AW109" s="185"/>
    </row>
    <row r="110" spans="1:58" s="129" customFormat="1" ht="38.25" x14ac:dyDescent="0.2">
      <c r="A110" s="180" t="s">
        <v>1416</v>
      </c>
      <c r="B110" s="180" t="s">
        <v>601</v>
      </c>
      <c r="C110" s="180" t="s">
        <v>507</v>
      </c>
      <c r="D110" s="181" t="s">
        <v>345</v>
      </c>
      <c r="E110" s="180" t="s">
        <v>2</v>
      </c>
      <c r="F110" s="180"/>
      <c r="G110" s="181" t="s">
        <v>157</v>
      </c>
      <c r="H110" s="181">
        <v>4</v>
      </c>
      <c r="I110" s="181" t="s">
        <v>594</v>
      </c>
      <c r="J110" s="181" t="s">
        <v>650</v>
      </c>
      <c r="K110" s="181" t="s">
        <v>569</v>
      </c>
      <c r="L110" s="181" t="s">
        <v>332</v>
      </c>
      <c r="M110" s="181" t="s">
        <v>157</v>
      </c>
      <c r="N110" s="181" t="s">
        <v>688</v>
      </c>
      <c r="O110" s="181" t="s">
        <v>556</v>
      </c>
      <c r="P110" s="194">
        <v>44278</v>
      </c>
      <c r="Q110" s="180" t="str">
        <f>K110</f>
        <v>costCenterId</v>
      </c>
      <c r="R110" s="180" t="str">
        <f>K110</f>
        <v>costCenterId</v>
      </c>
      <c r="S110" s="181" t="s">
        <v>36</v>
      </c>
      <c r="T110" s="180" t="s">
        <v>1206</v>
      </c>
      <c r="U110" s="180" t="s">
        <v>1210</v>
      </c>
      <c r="V110" s="180" t="s">
        <v>955</v>
      </c>
      <c r="W110" s="180"/>
      <c r="X110" s="180" t="s">
        <v>1383</v>
      </c>
      <c r="Y110" s="180" t="s">
        <v>1168</v>
      </c>
      <c r="Z110" s="183" t="s">
        <v>1151</v>
      </c>
      <c r="AA110" s="175" t="s">
        <v>569</v>
      </c>
      <c r="AB110" s="175" t="s">
        <v>742</v>
      </c>
      <c r="AC110" s="183" t="s">
        <v>569</v>
      </c>
      <c r="AD110" s="183" t="s">
        <v>332</v>
      </c>
      <c r="AE110" s="183" t="s">
        <v>332</v>
      </c>
      <c r="AF110" s="183" t="s">
        <v>1549</v>
      </c>
      <c r="AG110" s="183" t="s">
        <v>157</v>
      </c>
      <c r="AH110" s="183"/>
      <c r="AI110" s="185" t="s">
        <v>1426</v>
      </c>
      <c r="AJ110" s="177" t="s">
        <v>742</v>
      </c>
      <c r="AK110" s="177" t="s">
        <v>332</v>
      </c>
      <c r="AL110" s="177"/>
      <c r="AM110" s="177">
        <f>SUBTOTAL(9,H110:Y110)</f>
        <v>44282</v>
      </c>
      <c r="AN110" s="177" t="s">
        <v>963</v>
      </c>
      <c r="AO110" s="180" t="s">
        <v>1383</v>
      </c>
      <c r="AP110" s="174" t="s">
        <v>1038</v>
      </c>
      <c r="AQ110" s="174" t="s">
        <v>1427</v>
      </c>
      <c r="AR110" s="183" t="s">
        <v>569</v>
      </c>
      <c r="AS110" s="183" t="s">
        <v>1429</v>
      </c>
      <c r="AT110" s="183" t="s">
        <v>332</v>
      </c>
      <c r="AU110" s="183" t="s">
        <v>157</v>
      </c>
      <c r="AV110" s="183"/>
      <c r="AW110" s="185"/>
      <c r="AX110" s="130"/>
      <c r="AY110" s="130"/>
      <c r="AZ110" s="130"/>
      <c r="BA110" s="130"/>
      <c r="BB110" s="130"/>
      <c r="BC110" s="130"/>
      <c r="BD110" s="130"/>
      <c r="BE110" s="130"/>
      <c r="BF110" s="130"/>
    </row>
    <row r="111" spans="1:58" s="37" customFormat="1" ht="15" customHeight="1" x14ac:dyDescent="0.2">
      <c r="A111" s="180" t="s">
        <v>1416</v>
      </c>
      <c r="B111" s="180" t="s">
        <v>601</v>
      </c>
      <c r="C111" s="180" t="s">
        <v>507</v>
      </c>
      <c r="D111" s="181" t="s">
        <v>345</v>
      </c>
      <c r="E111" s="181" t="s">
        <v>237</v>
      </c>
      <c r="F111" s="181"/>
      <c r="G111" s="181" t="s">
        <v>45</v>
      </c>
      <c r="H111" s="181"/>
      <c r="I111" s="181" t="s">
        <v>594</v>
      </c>
      <c r="J111" s="181" t="s">
        <v>650</v>
      </c>
      <c r="K111" s="180" t="s">
        <v>237</v>
      </c>
      <c r="L111" s="181" t="s">
        <v>417</v>
      </c>
      <c r="M111" s="181" t="s">
        <v>45</v>
      </c>
      <c r="N111" s="181" t="s">
        <v>416</v>
      </c>
      <c r="O111" s="181" t="s">
        <v>548</v>
      </c>
      <c r="P111" s="194">
        <v>44278</v>
      </c>
      <c r="Q111" s="180" t="s">
        <v>237</v>
      </c>
      <c r="R111" s="180" t="s">
        <v>237</v>
      </c>
      <c r="S111" s="181"/>
      <c r="T111" s="180" t="s">
        <v>1206</v>
      </c>
      <c r="U111" s="180" t="s">
        <v>1210</v>
      </c>
      <c r="V111" s="180" t="s">
        <v>980</v>
      </c>
      <c r="W111" s="180"/>
      <c r="X111" s="180" t="s">
        <v>1383</v>
      </c>
      <c r="Y111" s="180" t="s">
        <v>1168</v>
      </c>
      <c r="Z111" s="183" t="s">
        <v>1151</v>
      </c>
      <c r="AA111" s="175" t="s">
        <v>237</v>
      </c>
      <c r="AB111" s="175" t="s">
        <v>742</v>
      </c>
      <c r="AC111" s="183" t="s">
        <v>237</v>
      </c>
      <c r="AD111" s="183" t="s">
        <v>332</v>
      </c>
      <c r="AE111" s="183" t="s">
        <v>332</v>
      </c>
      <c r="AF111" s="183" t="s">
        <v>1549</v>
      </c>
      <c r="AG111" s="183" t="s">
        <v>45</v>
      </c>
      <c r="AH111" s="183"/>
      <c r="AI111" s="185" t="s">
        <v>981</v>
      </c>
      <c r="AJ111" s="177" t="s">
        <v>742</v>
      </c>
      <c r="AK111" s="177" t="s">
        <v>417</v>
      </c>
      <c r="AL111" s="177"/>
      <c r="AM111" s="177"/>
      <c r="AN111" s="177" t="s">
        <v>981</v>
      </c>
      <c r="AO111" s="183"/>
      <c r="AP111" s="183"/>
      <c r="AQ111" s="183"/>
      <c r="AR111" s="183"/>
      <c r="AS111" s="183"/>
      <c r="AT111" s="183"/>
      <c r="AU111" s="183"/>
      <c r="AV111" s="183"/>
      <c r="AW111" s="185"/>
      <c r="AX111" s="130"/>
      <c r="AY111" s="130"/>
      <c r="AZ111" s="130"/>
      <c r="BA111" s="130"/>
      <c r="BB111" s="130"/>
      <c r="BC111" s="130"/>
      <c r="BD111" s="130"/>
      <c r="BE111" s="130"/>
      <c r="BF111" s="130"/>
    </row>
    <row r="112" spans="1:58" s="129" customFormat="1" ht="25.5" x14ac:dyDescent="0.2">
      <c r="A112" s="180" t="s">
        <v>1416</v>
      </c>
      <c r="B112" s="180" t="s">
        <v>601</v>
      </c>
      <c r="C112" s="180" t="s">
        <v>507</v>
      </c>
      <c r="D112" s="181" t="s">
        <v>345</v>
      </c>
      <c r="E112" s="180" t="s">
        <v>34</v>
      </c>
      <c r="F112" s="180"/>
      <c r="G112" s="180" t="s">
        <v>661</v>
      </c>
      <c r="H112" s="181" t="s">
        <v>202</v>
      </c>
      <c r="I112" s="181" t="s">
        <v>594</v>
      </c>
      <c r="J112" s="181" t="s">
        <v>650</v>
      </c>
      <c r="K112" s="181" t="s">
        <v>576</v>
      </c>
      <c r="L112" s="180" t="s">
        <v>332</v>
      </c>
      <c r="M112" s="181" t="s">
        <v>201</v>
      </c>
      <c r="N112" s="181" t="s">
        <v>687</v>
      </c>
      <c r="O112" s="181" t="s">
        <v>557</v>
      </c>
      <c r="P112" s="194">
        <v>44278</v>
      </c>
      <c r="Q112" s="180" t="s">
        <v>576</v>
      </c>
      <c r="R112" s="180" t="s">
        <v>576</v>
      </c>
      <c r="S112" s="181"/>
      <c r="T112" s="180" t="s">
        <v>1206</v>
      </c>
      <c r="U112" s="180" t="s">
        <v>1210</v>
      </c>
      <c r="V112" s="180" t="s">
        <v>1029</v>
      </c>
      <c r="W112" s="180"/>
      <c r="X112" s="180"/>
      <c r="Y112" s="180"/>
      <c r="Z112" s="183"/>
      <c r="AA112" s="175" t="s">
        <v>576</v>
      </c>
      <c r="AB112" s="175" t="s">
        <v>742</v>
      </c>
      <c r="AC112" s="183" t="s">
        <v>576</v>
      </c>
      <c r="AD112" s="183" t="s">
        <v>332</v>
      </c>
      <c r="AE112" s="183" t="s">
        <v>332</v>
      </c>
      <c r="AF112" s="183" t="s">
        <v>1549</v>
      </c>
      <c r="AG112" s="183" t="s">
        <v>201</v>
      </c>
      <c r="AH112" s="183"/>
      <c r="AI112" s="185" t="s">
        <v>963</v>
      </c>
      <c r="AJ112" s="177" t="s">
        <v>742</v>
      </c>
      <c r="AK112" s="177" t="s">
        <v>332</v>
      </c>
      <c r="AL112" s="177"/>
      <c r="AM112" s="177"/>
      <c r="AN112" s="177" t="s">
        <v>963</v>
      </c>
      <c r="AO112" s="183"/>
      <c r="AP112" s="183"/>
      <c r="AQ112" s="183"/>
      <c r="AR112" s="183"/>
      <c r="AS112" s="183"/>
      <c r="AT112" s="183"/>
      <c r="AU112" s="183"/>
      <c r="AV112" s="183"/>
      <c r="AW112" s="185"/>
      <c r="AX112" s="130"/>
      <c r="AY112" s="130"/>
      <c r="AZ112" s="130"/>
      <c r="BA112" s="130"/>
      <c r="BB112" s="130"/>
      <c r="BC112" s="130"/>
      <c r="BD112" s="130"/>
      <c r="BE112" s="130"/>
      <c r="BF112" s="130"/>
    </row>
    <row r="113" spans="1:58" s="129" customFormat="1" ht="25.5" x14ac:dyDescent="0.2">
      <c r="A113" s="180" t="s">
        <v>1416</v>
      </c>
      <c r="B113" s="180" t="s">
        <v>601</v>
      </c>
      <c r="C113" s="180" t="s">
        <v>507</v>
      </c>
      <c r="D113" s="181" t="s">
        <v>345</v>
      </c>
      <c r="E113" s="181" t="s">
        <v>196</v>
      </c>
      <c r="F113" s="181"/>
      <c r="G113" s="181" t="s">
        <v>157</v>
      </c>
      <c r="H113" s="181"/>
      <c r="I113" s="181" t="s">
        <v>594</v>
      </c>
      <c r="J113" s="181" t="s">
        <v>650</v>
      </c>
      <c r="K113" s="180" t="s">
        <v>558</v>
      </c>
      <c r="L113" s="181" t="s">
        <v>396</v>
      </c>
      <c r="M113" s="181" t="s">
        <v>157</v>
      </c>
      <c r="N113" s="181" t="s">
        <v>563</v>
      </c>
      <c r="O113" s="181" t="s">
        <v>552</v>
      </c>
      <c r="P113" s="194">
        <v>44278</v>
      </c>
      <c r="Q113" s="195" t="str">
        <f t="shared" ref="Q113:Q119" si="17">K113</f>
        <v>employmentAgreementReferencePeriodLength</v>
      </c>
      <c r="R113" s="195"/>
      <c r="S113" s="196"/>
      <c r="T113" s="180" t="s">
        <v>1206</v>
      </c>
      <c r="U113" s="180" t="s">
        <v>1210</v>
      </c>
      <c r="V113" s="180" t="str">
        <f>Q113</f>
        <v>employmentAgreementReferencePeriodLength</v>
      </c>
      <c r="W113" s="180"/>
      <c r="X113" s="199" t="s">
        <v>1543</v>
      </c>
      <c r="Y113" s="199"/>
      <c r="Z113" s="199"/>
      <c r="AA113" s="175" t="s">
        <v>558</v>
      </c>
      <c r="AB113" s="175" t="s">
        <v>742</v>
      </c>
      <c r="AC113" s="183" t="s">
        <v>558</v>
      </c>
      <c r="AD113" s="183" t="s">
        <v>332</v>
      </c>
      <c r="AE113" s="190" t="s">
        <v>332</v>
      </c>
      <c r="AF113" s="190" t="s">
        <v>1549</v>
      </c>
      <c r="AG113" s="183" t="s">
        <v>157</v>
      </c>
      <c r="AH113" s="183"/>
      <c r="AI113" s="192" t="s">
        <v>963</v>
      </c>
      <c r="AJ113" s="177" t="s">
        <v>742</v>
      </c>
      <c r="AK113" s="177" t="s">
        <v>1371</v>
      </c>
      <c r="AL113" s="177"/>
      <c r="AM113" s="177"/>
      <c r="AN113" s="177" t="s">
        <v>963</v>
      </c>
      <c r="AO113" s="183"/>
      <c r="AP113" s="183"/>
      <c r="AQ113" s="183"/>
      <c r="AR113" s="183"/>
      <c r="AS113" s="183"/>
      <c r="AT113" s="183"/>
      <c r="AU113" s="183"/>
      <c r="AV113" s="183"/>
      <c r="AW113" s="185"/>
      <c r="AX113" s="130"/>
      <c r="AY113" s="130"/>
      <c r="AZ113" s="130"/>
      <c r="BA113" s="130"/>
      <c r="BB113" s="130"/>
      <c r="BC113" s="130"/>
      <c r="BD113" s="130"/>
      <c r="BE113" s="130"/>
      <c r="BF113" s="130"/>
    </row>
    <row r="114" spans="1:58" s="37" customFormat="1" ht="38.25" x14ac:dyDescent="0.2">
      <c r="A114" s="180" t="s">
        <v>1416</v>
      </c>
      <c r="B114" s="180" t="s">
        <v>601</v>
      </c>
      <c r="C114" s="180" t="s">
        <v>507</v>
      </c>
      <c r="D114" s="181" t="s">
        <v>345</v>
      </c>
      <c r="E114" s="181" t="s">
        <v>209</v>
      </c>
      <c r="F114" s="181"/>
      <c r="G114" s="181" t="s">
        <v>157</v>
      </c>
      <c r="H114" s="181"/>
      <c r="I114" s="181" t="s">
        <v>594</v>
      </c>
      <c r="J114" s="181" t="s">
        <v>650</v>
      </c>
      <c r="K114" s="180" t="s">
        <v>544</v>
      </c>
      <c r="L114" s="180" t="s">
        <v>332</v>
      </c>
      <c r="M114" s="181" t="s">
        <v>157</v>
      </c>
      <c r="N114" s="181" t="s">
        <v>395</v>
      </c>
      <c r="O114" s="181" t="s">
        <v>546</v>
      </c>
      <c r="P114" s="194">
        <v>44278</v>
      </c>
      <c r="Q114" s="195" t="str">
        <f t="shared" si="17"/>
        <v>employmentAgreementTemplateId</v>
      </c>
      <c r="R114" s="195"/>
      <c r="S114" s="196" t="s">
        <v>36</v>
      </c>
      <c r="T114" s="180" t="s">
        <v>1206</v>
      </c>
      <c r="U114" s="180" t="s">
        <v>1210</v>
      </c>
      <c r="V114" s="180" t="str">
        <f>Q114</f>
        <v>employmentAgreementTemplateId</v>
      </c>
      <c r="W114" s="180"/>
      <c r="X114" s="199"/>
      <c r="Y114" s="199"/>
      <c r="Z114" s="199"/>
      <c r="AA114" s="175" t="s">
        <v>544</v>
      </c>
      <c r="AB114" s="175" t="s">
        <v>742</v>
      </c>
      <c r="AC114" s="183" t="s">
        <v>332</v>
      </c>
      <c r="AD114" s="183" t="s">
        <v>332</v>
      </c>
      <c r="AE114" s="190" t="s">
        <v>332</v>
      </c>
      <c r="AF114" s="190" t="s">
        <v>1549</v>
      </c>
      <c r="AG114" s="183" t="s">
        <v>157</v>
      </c>
      <c r="AH114" s="183"/>
      <c r="AI114" s="192" t="s">
        <v>963</v>
      </c>
      <c r="AJ114" s="177" t="s">
        <v>742</v>
      </c>
      <c r="AK114" s="177" t="s">
        <v>332</v>
      </c>
      <c r="AL114" s="177"/>
      <c r="AM114" s="177"/>
      <c r="AN114" s="177" t="s">
        <v>963</v>
      </c>
      <c r="AO114" s="183"/>
      <c r="AP114" s="183"/>
      <c r="AQ114" s="183"/>
      <c r="AR114" s="183"/>
      <c r="AS114" s="183"/>
      <c r="AT114" s="183"/>
      <c r="AU114" s="183"/>
      <c r="AV114" s="183"/>
      <c r="AW114" s="185"/>
      <c r="AX114" s="130"/>
      <c r="AY114" s="130"/>
      <c r="AZ114" s="130"/>
      <c r="BA114" s="130"/>
      <c r="BB114" s="130"/>
      <c r="BC114" s="130"/>
      <c r="BD114" s="130"/>
      <c r="BE114" s="130"/>
      <c r="BF114" s="130"/>
    </row>
    <row r="115" spans="1:58" s="129" customFormat="1" ht="25.5" x14ac:dyDescent="0.2">
      <c r="A115" s="180" t="s">
        <v>1416</v>
      </c>
      <c r="B115" s="180" t="s">
        <v>601</v>
      </c>
      <c r="C115" s="180" t="s">
        <v>507</v>
      </c>
      <c r="D115" s="181" t="s">
        <v>345</v>
      </c>
      <c r="E115" s="181" t="s">
        <v>197</v>
      </c>
      <c r="F115" s="181"/>
      <c r="G115" s="181" t="s">
        <v>188</v>
      </c>
      <c r="H115" s="181"/>
      <c r="I115" s="181" t="s">
        <v>594</v>
      </c>
      <c r="J115" s="181" t="s">
        <v>650</v>
      </c>
      <c r="K115" s="180" t="s">
        <v>545</v>
      </c>
      <c r="L115" s="181" t="s">
        <v>397</v>
      </c>
      <c r="M115" s="181" t="s">
        <v>188</v>
      </c>
      <c r="N115" s="181" t="s">
        <v>398</v>
      </c>
      <c r="O115" s="181" t="s">
        <v>546</v>
      </c>
      <c r="P115" s="194">
        <v>44278</v>
      </c>
      <c r="Q115" s="195" t="str">
        <f t="shared" si="17"/>
        <v>employmentAgreementWorkingWeeklyHours</v>
      </c>
      <c r="R115" s="195"/>
      <c r="S115" s="196"/>
      <c r="T115" s="180" t="s">
        <v>1206</v>
      </c>
      <c r="U115" s="180" t="s">
        <v>1210</v>
      </c>
      <c r="V115" s="180" t="str">
        <f>Q115</f>
        <v>employmentAgreementWorkingWeeklyHours</v>
      </c>
      <c r="W115" s="180"/>
      <c r="X115" s="199"/>
      <c r="Y115" s="199"/>
      <c r="Z115" s="199"/>
      <c r="AA115" s="175" t="s">
        <v>545</v>
      </c>
      <c r="AB115" s="175" t="s">
        <v>742</v>
      </c>
      <c r="AC115" s="183" t="s">
        <v>545</v>
      </c>
      <c r="AD115" s="183" t="s">
        <v>332</v>
      </c>
      <c r="AE115" s="190" t="s">
        <v>332</v>
      </c>
      <c r="AF115" s="190" t="s">
        <v>1549</v>
      </c>
      <c r="AG115" s="183" t="s">
        <v>188</v>
      </c>
      <c r="AH115" s="183"/>
      <c r="AI115" s="192" t="s">
        <v>963</v>
      </c>
      <c r="AJ115" s="177" t="s">
        <v>742</v>
      </c>
      <c r="AK115" s="177" t="s">
        <v>1372</v>
      </c>
      <c r="AL115" s="177"/>
      <c r="AM115" s="177"/>
      <c r="AN115" s="177" t="s">
        <v>963</v>
      </c>
      <c r="AO115" s="183"/>
      <c r="AP115" s="183"/>
      <c r="AQ115" s="183"/>
      <c r="AR115" s="183"/>
      <c r="AS115" s="183"/>
      <c r="AT115" s="183"/>
      <c r="AU115" s="183"/>
      <c r="AV115" s="183"/>
      <c r="AW115" s="185"/>
      <c r="AX115" s="130"/>
      <c r="AY115" s="130"/>
      <c r="AZ115" s="130"/>
      <c r="BA115" s="130"/>
      <c r="BB115" s="130"/>
      <c r="BC115" s="130"/>
      <c r="BD115" s="130"/>
      <c r="BE115" s="130"/>
      <c r="BF115" s="130"/>
    </row>
    <row r="116" spans="1:58" s="129" customFormat="1" ht="38.25" x14ac:dyDescent="0.2">
      <c r="A116" s="180" t="s">
        <v>1416</v>
      </c>
      <c r="B116" s="180" t="s">
        <v>601</v>
      </c>
      <c r="C116" s="180" t="s">
        <v>507</v>
      </c>
      <c r="D116" s="181" t="s">
        <v>345</v>
      </c>
      <c r="E116" s="181" t="s">
        <v>234</v>
      </c>
      <c r="F116" s="181"/>
      <c r="G116" s="181" t="s">
        <v>106</v>
      </c>
      <c r="H116" s="181"/>
      <c r="I116" s="181" t="s">
        <v>594</v>
      </c>
      <c r="J116" s="181" t="s">
        <v>650</v>
      </c>
      <c r="K116" s="180" t="s">
        <v>399</v>
      </c>
      <c r="L116" s="181" t="s">
        <v>375</v>
      </c>
      <c r="M116" s="181" t="s">
        <v>106</v>
      </c>
      <c r="N116" s="181" t="s">
        <v>685</v>
      </c>
      <c r="O116" s="181" t="s">
        <v>550</v>
      </c>
      <c r="P116" s="194">
        <v>44278</v>
      </c>
      <c r="Q116" s="195" t="str">
        <f t="shared" si="17"/>
        <v>isLeaveApproved</v>
      </c>
      <c r="R116" s="195"/>
      <c r="S116" s="196"/>
      <c r="T116" s="180"/>
      <c r="U116" s="180"/>
      <c r="V116" s="180"/>
      <c r="W116" s="180"/>
      <c r="X116" s="199" t="s">
        <v>1543</v>
      </c>
      <c r="Y116" s="199"/>
      <c r="Z116" s="199"/>
      <c r="AA116" s="175" t="s">
        <v>399</v>
      </c>
      <c r="AB116" s="175" t="s">
        <v>742</v>
      </c>
      <c r="AC116" s="183" t="s">
        <v>399</v>
      </c>
      <c r="AD116" s="183" t="s">
        <v>332</v>
      </c>
      <c r="AE116" s="183" t="s">
        <v>332</v>
      </c>
      <c r="AF116" s="183" t="s">
        <v>1549</v>
      </c>
      <c r="AG116" s="183" t="s">
        <v>106</v>
      </c>
      <c r="AH116" s="183"/>
      <c r="AI116" s="185" t="s">
        <v>963</v>
      </c>
      <c r="AJ116" s="177" t="s">
        <v>742</v>
      </c>
      <c r="AK116" s="177" t="s">
        <v>375</v>
      </c>
      <c r="AL116" s="177"/>
      <c r="AM116" s="177"/>
      <c r="AN116" s="177" t="s">
        <v>963</v>
      </c>
      <c r="AO116" s="183"/>
      <c r="AP116" s="183"/>
      <c r="AQ116" s="183"/>
      <c r="AR116" s="183"/>
      <c r="AS116" s="183"/>
      <c r="AT116" s="183"/>
      <c r="AU116" s="183"/>
      <c r="AV116" s="183"/>
      <c r="AW116" s="185"/>
      <c r="AX116" s="130"/>
      <c r="AY116" s="130"/>
      <c r="AZ116" s="130"/>
      <c r="BA116" s="130"/>
      <c r="BB116" s="130"/>
      <c r="BC116" s="130"/>
      <c r="BD116" s="130"/>
      <c r="BE116" s="130"/>
      <c r="BF116" s="130"/>
    </row>
    <row r="117" spans="1:58" s="129" customFormat="1" ht="51" x14ac:dyDescent="0.2">
      <c r="A117" s="180" t="s">
        <v>1416</v>
      </c>
      <c r="B117" s="180" t="s">
        <v>601</v>
      </c>
      <c r="C117" s="180" t="s">
        <v>594</v>
      </c>
      <c r="D117" s="181" t="s">
        <v>345</v>
      </c>
      <c r="E117" s="180" t="s">
        <v>159</v>
      </c>
      <c r="F117" s="180"/>
      <c r="G117" s="180" t="s">
        <v>157</v>
      </c>
      <c r="H117" s="181" t="s">
        <v>324</v>
      </c>
      <c r="I117" s="181" t="s">
        <v>594</v>
      </c>
      <c r="J117" s="181" t="s">
        <v>650</v>
      </c>
      <c r="K117" s="180" t="s">
        <v>667</v>
      </c>
      <c r="L117" s="180" t="s">
        <v>332</v>
      </c>
      <c r="M117" s="181" t="s">
        <v>130</v>
      </c>
      <c r="N117" s="181" t="s">
        <v>666</v>
      </c>
      <c r="O117" s="181" t="s">
        <v>548</v>
      </c>
      <c r="P117" s="194">
        <v>44281</v>
      </c>
      <c r="Q117" s="195" t="str">
        <f t="shared" si="17"/>
        <v>isAbsenceSchedule</v>
      </c>
      <c r="R117" s="195"/>
      <c r="S117" s="196"/>
      <c r="T117" s="180"/>
      <c r="U117" s="180"/>
      <c r="V117" s="180"/>
      <c r="W117" s="180"/>
      <c r="X117" s="180"/>
      <c r="Y117" s="180"/>
      <c r="Z117" s="183"/>
      <c r="AA117" s="175" t="s">
        <v>667</v>
      </c>
      <c r="AB117" s="175" t="s">
        <v>742</v>
      </c>
      <c r="AC117" s="183" t="s">
        <v>667</v>
      </c>
      <c r="AD117" s="183" t="s">
        <v>332</v>
      </c>
      <c r="AE117" s="183" t="s">
        <v>332</v>
      </c>
      <c r="AF117" s="190" t="s">
        <v>1549</v>
      </c>
      <c r="AG117" s="183" t="s">
        <v>130</v>
      </c>
      <c r="AH117" s="183"/>
      <c r="AI117" s="185" t="s">
        <v>963</v>
      </c>
      <c r="AJ117" s="177" t="s">
        <v>742</v>
      </c>
      <c r="AK117" s="177" t="s">
        <v>332</v>
      </c>
      <c r="AL117" s="177"/>
      <c r="AM117" s="177"/>
      <c r="AN117" s="177" t="s">
        <v>963</v>
      </c>
      <c r="AO117" s="183"/>
      <c r="AP117" s="183"/>
      <c r="AQ117" s="183"/>
      <c r="AR117" s="183"/>
      <c r="AS117" s="183"/>
      <c r="AT117" s="183"/>
      <c r="AU117" s="183"/>
      <c r="AV117" s="183"/>
      <c r="AW117" s="185"/>
      <c r="AX117" s="130"/>
      <c r="AY117" s="130"/>
      <c r="AZ117" s="130"/>
      <c r="BA117" s="130"/>
      <c r="BB117" s="130"/>
      <c r="BC117" s="130"/>
      <c r="BD117" s="130"/>
      <c r="BE117" s="130"/>
      <c r="BF117" s="130"/>
    </row>
    <row r="118" spans="1:58" s="129" customFormat="1" ht="25.5" x14ac:dyDescent="0.2">
      <c r="A118" s="180" t="s">
        <v>1416</v>
      </c>
      <c r="B118" s="180" t="s">
        <v>601</v>
      </c>
      <c r="C118" s="180" t="s">
        <v>507</v>
      </c>
      <c r="D118" s="181" t="s">
        <v>345</v>
      </c>
      <c r="E118" s="181" t="s">
        <v>343</v>
      </c>
      <c r="F118" s="181"/>
      <c r="G118" s="181" t="s">
        <v>157</v>
      </c>
      <c r="H118" s="181"/>
      <c r="I118" s="181" t="s">
        <v>594</v>
      </c>
      <c r="J118" s="181" t="s">
        <v>650</v>
      </c>
      <c r="K118" s="180" t="s">
        <v>418</v>
      </c>
      <c r="L118" s="181" t="s">
        <v>388</v>
      </c>
      <c r="M118" s="181" t="s">
        <v>157</v>
      </c>
      <c r="N118" s="181" t="s">
        <v>684</v>
      </c>
      <c r="O118" s="181" t="s">
        <v>550</v>
      </c>
      <c r="P118" s="194">
        <v>44278</v>
      </c>
      <c r="Q118" s="195" t="str">
        <f t="shared" si="17"/>
        <v>leaveDayCount</v>
      </c>
      <c r="R118" s="195"/>
      <c r="S118" s="196"/>
      <c r="T118" s="180"/>
      <c r="U118" s="180"/>
      <c r="V118" s="180"/>
      <c r="W118" s="180"/>
      <c r="X118" s="181"/>
      <c r="Y118" s="180"/>
      <c r="Z118" s="183"/>
      <c r="AA118" s="175" t="s">
        <v>418</v>
      </c>
      <c r="AB118" s="175" t="s">
        <v>742</v>
      </c>
      <c r="AC118" s="183" t="s">
        <v>418</v>
      </c>
      <c r="AD118" s="183" t="s">
        <v>332</v>
      </c>
      <c r="AE118" s="183" t="s">
        <v>332</v>
      </c>
      <c r="AF118" s="183" t="s">
        <v>1549</v>
      </c>
      <c r="AG118" s="183" t="s">
        <v>157</v>
      </c>
      <c r="AH118" s="183"/>
      <c r="AI118" s="185" t="s">
        <v>963</v>
      </c>
      <c r="AJ118" s="177" t="s">
        <v>742</v>
      </c>
      <c r="AK118" s="177" t="s">
        <v>1377</v>
      </c>
      <c r="AL118" s="177"/>
      <c r="AM118" s="177"/>
      <c r="AN118" s="177" t="s">
        <v>963</v>
      </c>
      <c r="AO118" s="183"/>
      <c r="AP118" s="183"/>
      <c r="AQ118" s="183"/>
      <c r="AR118" s="183"/>
      <c r="AS118" s="183"/>
      <c r="AT118" s="183"/>
      <c r="AU118" s="183"/>
      <c r="AV118" s="183"/>
      <c r="AW118" s="185"/>
      <c r="AX118" s="130"/>
      <c r="AY118" s="130"/>
      <c r="AZ118" s="130"/>
      <c r="BA118" s="130"/>
      <c r="BB118" s="130"/>
      <c r="BC118" s="130"/>
      <c r="BD118" s="130"/>
      <c r="BE118" s="130"/>
      <c r="BF118" s="130"/>
    </row>
    <row r="119" spans="1:58" s="37" customFormat="1" ht="25.5" x14ac:dyDescent="0.2">
      <c r="A119" s="180" t="s">
        <v>1416</v>
      </c>
      <c r="B119" s="180" t="s">
        <v>601</v>
      </c>
      <c r="C119" s="180" t="s">
        <v>507</v>
      </c>
      <c r="D119" s="181" t="s">
        <v>345</v>
      </c>
      <c r="E119" s="180" t="s">
        <v>205</v>
      </c>
      <c r="F119" s="180"/>
      <c r="G119" s="181" t="s">
        <v>157</v>
      </c>
      <c r="H119" s="181"/>
      <c r="I119" s="181" t="s">
        <v>594</v>
      </c>
      <c r="J119" s="181" t="s">
        <v>650</v>
      </c>
      <c r="K119" s="180" t="s">
        <v>205</v>
      </c>
      <c r="L119" s="181" t="s">
        <v>332</v>
      </c>
      <c r="M119" s="181" t="s">
        <v>157</v>
      </c>
      <c r="N119" s="181" t="s">
        <v>683</v>
      </c>
      <c r="O119" s="181" t="s">
        <v>550</v>
      </c>
      <c r="P119" s="194">
        <v>44278</v>
      </c>
      <c r="Q119" s="195" t="str">
        <f t="shared" si="17"/>
        <v>leaveReasonId</v>
      </c>
      <c r="R119" s="195"/>
      <c r="S119" s="196" t="s">
        <v>36</v>
      </c>
      <c r="T119" s="180"/>
      <c r="U119" s="180"/>
      <c r="V119" s="180"/>
      <c r="W119" s="180"/>
      <c r="X119" s="181"/>
      <c r="Y119" s="180"/>
      <c r="Z119" s="183"/>
      <c r="AA119" s="175" t="s">
        <v>205</v>
      </c>
      <c r="AB119" s="175" t="s">
        <v>742</v>
      </c>
      <c r="AC119" s="183" t="s">
        <v>205</v>
      </c>
      <c r="AD119" s="183" t="s">
        <v>332</v>
      </c>
      <c r="AE119" s="183" t="s">
        <v>332</v>
      </c>
      <c r="AF119" s="183" t="s">
        <v>1549</v>
      </c>
      <c r="AG119" s="183" t="s">
        <v>157</v>
      </c>
      <c r="AH119" s="183"/>
      <c r="AI119" s="185" t="s">
        <v>963</v>
      </c>
      <c r="AJ119" s="177" t="s">
        <v>742</v>
      </c>
      <c r="AK119" s="177" t="s">
        <v>332</v>
      </c>
      <c r="AL119" s="177"/>
      <c r="AM119" s="177"/>
      <c r="AN119" s="177" t="s">
        <v>963</v>
      </c>
      <c r="AO119" s="183"/>
      <c r="AP119" s="183"/>
      <c r="AQ119" s="183"/>
      <c r="AR119" s="183"/>
      <c r="AS119" s="183"/>
      <c r="AT119" s="183"/>
      <c r="AU119" s="183"/>
      <c r="AV119" s="183"/>
      <c r="AW119" s="185"/>
      <c r="AX119" s="130"/>
      <c r="AY119" s="130"/>
      <c r="AZ119" s="130"/>
      <c r="BA119" s="130"/>
      <c r="BB119" s="130"/>
      <c r="BC119" s="130"/>
      <c r="BD119" s="130"/>
      <c r="BE119" s="130"/>
      <c r="BF119" s="130"/>
    </row>
    <row r="120" spans="1:58" s="37" customFormat="1" ht="63.75" x14ac:dyDescent="0.2">
      <c r="A120" s="180" t="s">
        <v>1416</v>
      </c>
      <c r="B120" s="180" t="s">
        <v>601</v>
      </c>
      <c r="C120" s="180" t="s">
        <v>507</v>
      </c>
      <c r="D120" s="181" t="s">
        <v>345</v>
      </c>
      <c r="E120" s="180" t="s">
        <v>199</v>
      </c>
      <c r="F120" s="180"/>
      <c r="G120" s="181" t="s">
        <v>157</v>
      </c>
      <c r="H120" s="181"/>
      <c r="I120" s="181" t="s">
        <v>594</v>
      </c>
      <c r="J120" s="181" t="s">
        <v>650</v>
      </c>
      <c r="K120" s="181" t="s">
        <v>570</v>
      </c>
      <c r="L120" s="181" t="s">
        <v>332</v>
      </c>
      <c r="M120" s="181" t="s">
        <v>157</v>
      </c>
      <c r="N120" s="181" t="s">
        <v>681</v>
      </c>
      <c r="O120" s="181" t="s">
        <v>548</v>
      </c>
      <c r="P120" s="194">
        <v>44278</v>
      </c>
      <c r="Q120" s="180" t="s">
        <v>570</v>
      </c>
      <c r="R120" s="180" t="s">
        <v>570</v>
      </c>
      <c r="S120" s="181" t="s">
        <v>36</v>
      </c>
      <c r="T120" s="180" t="s">
        <v>1206</v>
      </c>
      <c r="U120" s="180" t="s">
        <v>1210</v>
      </c>
      <c r="V120" s="180" t="s">
        <v>570</v>
      </c>
      <c r="W120" s="180"/>
      <c r="X120" s="180"/>
      <c r="Y120" s="180"/>
      <c r="Z120" s="183"/>
      <c r="AA120" s="175" t="s">
        <v>570</v>
      </c>
      <c r="AB120" s="175" t="s">
        <v>742</v>
      </c>
      <c r="AC120" s="183" t="s">
        <v>570</v>
      </c>
      <c r="AD120" s="183" t="s">
        <v>332</v>
      </c>
      <c r="AE120" s="183" t="s">
        <v>332</v>
      </c>
      <c r="AF120" s="183" t="s">
        <v>1549</v>
      </c>
      <c r="AG120" s="183" t="s">
        <v>157</v>
      </c>
      <c r="AH120" s="183"/>
      <c r="AI120" s="185" t="s">
        <v>963</v>
      </c>
      <c r="AJ120" s="177" t="s">
        <v>742</v>
      </c>
      <c r="AK120" s="177" t="s">
        <v>332</v>
      </c>
      <c r="AL120" s="177"/>
      <c r="AM120" s="177"/>
      <c r="AN120" s="177" t="s">
        <v>963</v>
      </c>
      <c r="AO120" s="183"/>
      <c r="AP120" s="183"/>
      <c r="AQ120" s="183"/>
      <c r="AR120" s="183"/>
      <c r="AS120" s="183"/>
      <c r="AT120" s="183"/>
      <c r="AU120" s="183"/>
      <c r="AV120" s="183"/>
      <c r="AW120" s="185"/>
      <c r="AX120" s="130"/>
      <c r="AY120" s="130"/>
      <c r="AZ120" s="130"/>
      <c r="BA120" s="130"/>
      <c r="BB120" s="130"/>
      <c r="BC120" s="130"/>
      <c r="BD120" s="130"/>
      <c r="BE120" s="130"/>
      <c r="BF120" s="130"/>
    </row>
    <row r="121" spans="1:58" s="37" customFormat="1" x14ac:dyDescent="0.2">
      <c r="A121" s="180" t="s">
        <v>1416</v>
      </c>
      <c r="B121" s="180" t="s">
        <v>601</v>
      </c>
      <c r="C121" s="180" t="s">
        <v>507</v>
      </c>
      <c r="D121" s="181" t="s">
        <v>345</v>
      </c>
      <c r="E121" s="180" t="s">
        <v>238</v>
      </c>
      <c r="F121" s="180"/>
      <c r="G121" s="181" t="s">
        <v>239</v>
      </c>
      <c r="H121" s="181"/>
      <c r="I121" s="181" t="s">
        <v>594</v>
      </c>
      <c r="J121" s="181" t="s">
        <v>650</v>
      </c>
      <c r="K121" s="181" t="s">
        <v>575</v>
      </c>
      <c r="L121" s="181" t="s">
        <v>332</v>
      </c>
      <c r="M121" s="181" t="s">
        <v>239</v>
      </c>
      <c r="N121" s="181" t="s">
        <v>240</v>
      </c>
      <c r="O121" s="181" t="s">
        <v>555</v>
      </c>
      <c r="P121" s="194">
        <v>44278</v>
      </c>
      <c r="Q121" s="180"/>
      <c r="R121" s="180"/>
      <c r="S121" s="181"/>
      <c r="T121" s="180"/>
      <c r="U121" s="180"/>
      <c r="V121" s="180"/>
      <c r="W121" s="180"/>
      <c r="X121" s="180" t="s">
        <v>1631</v>
      </c>
      <c r="Y121" s="180" t="s">
        <v>1168</v>
      </c>
      <c r="Z121" s="183" t="s">
        <v>1151</v>
      </c>
      <c r="AA121" s="175" t="s">
        <v>575</v>
      </c>
      <c r="AB121" s="175" t="s">
        <v>742</v>
      </c>
      <c r="AC121" s="183" t="s">
        <v>1506</v>
      </c>
      <c r="AD121" s="183" t="s">
        <v>332</v>
      </c>
      <c r="AE121" s="183" t="s">
        <v>332</v>
      </c>
      <c r="AF121" s="183" t="s">
        <v>1549</v>
      </c>
      <c r="AG121" s="183" t="s">
        <v>239</v>
      </c>
      <c r="AH121" s="183"/>
      <c r="AI121" s="185" t="s">
        <v>1070</v>
      </c>
      <c r="AJ121" s="177" t="s">
        <v>742</v>
      </c>
      <c r="AK121" s="177" t="s">
        <v>332</v>
      </c>
      <c r="AL121" s="177"/>
      <c r="AM121" s="177"/>
      <c r="AN121" s="177" t="s">
        <v>1070</v>
      </c>
      <c r="AO121" s="183"/>
      <c r="AP121" s="183"/>
      <c r="AQ121" s="183"/>
      <c r="AR121" s="183"/>
      <c r="AS121" s="183"/>
      <c r="AT121" s="183"/>
      <c r="AU121" s="183"/>
      <c r="AV121" s="183"/>
      <c r="AW121" s="185"/>
      <c r="AX121" s="130"/>
      <c r="AY121" s="130"/>
      <c r="AZ121" s="130"/>
      <c r="BA121" s="130"/>
      <c r="BB121" s="130"/>
      <c r="BC121" s="130"/>
      <c r="BD121" s="130"/>
      <c r="BE121" s="130"/>
      <c r="BF121" s="130"/>
    </row>
    <row r="122" spans="1:58" s="37" customFormat="1" x14ac:dyDescent="0.2">
      <c r="A122" s="180" t="s">
        <v>1416</v>
      </c>
      <c r="B122" s="180" t="s">
        <v>601</v>
      </c>
      <c r="C122" s="180" t="s">
        <v>507</v>
      </c>
      <c r="D122" s="181" t="s">
        <v>345</v>
      </c>
      <c r="E122" s="181" t="s">
        <v>166</v>
      </c>
      <c r="F122" s="181"/>
      <c r="G122" s="181" t="s">
        <v>49</v>
      </c>
      <c r="H122" s="181" t="s">
        <v>50</v>
      </c>
      <c r="I122" s="181" t="s">
        <v>594</v>
      </c>
      <c r="J122" s="181" t="s">
        <v>650</v>
      </c>
      <c r="K122" s="180" t="s">
        <v>332</v>
      </c>
      <c r="L122" s="181" t="s">
        <v>332</v>
      </c>
      <c r="M122" s="181" t="s">
        <v>162</v>
      </c>
      <c r="N122" s="181" t="s">
        <v>771</v>
      </c>
      <c r="O122" s="181" t="s">
        <v>548</v>
      </c>
      <c r="P122" s="194">
        <v>44278</v>
      </c>
      <c r="Q122" s="180"/>
      <c r="R122" s="180"/>
      <c r="S122" s="181"/>
      <c r="T122" s="180"/>
      <c r="U122" s="180"/>
      <c r="V122" s="180"/>
      <c r="W122" s="180"/>
      <c r="X122" s="181"/>
      <c r="Y122" s="180"/>
      <c r="Z122" s="183"/>
      <c r="AA122" s="175" t="s">
        <v>332</v>
      </c>
      <c r="AB122" s="175" t="s">
        <v>742</v>
      </c>
      <c r="AC122" s="183" t="s">
        <v>332</v>
      </c>
      <c r="AD122" s="183" t="s">
        <v>332</v>
      </c>
      <c r="AE122" s="183" t="s">
        <v>332</v>
      </c>
      <c r="AF122" s="183" t="s">
        <v>1549</v>
      </c>
      <c r="AG122" s="183" t="s">
        <v>162</v>
      </c>
      <c r="AH122" s="183"/>
      <c r="AI122" s="185" t="s">
        <v>963</v>
      </c>
      <c r="AJ122" s="177" t="s">
        <v>742</v>
      </c>
      <c r="AK122" s="177" t="s">
        <v>332</v>
      </c>
      <c r="AL122" s="177"/>
      <c r="AM122" s="177"/>
      <c r="AN122" s="177" t="s">
        <v>963</v>
      </c>
      <c r="AO122" s="183"/>
      <c r="AP122" s="183"/>
      <c r="AQ122" s="183"/>
      <c r="AR122" s="183"/>
      <c r="AS122" s="183"/>
      <c r="AT122" s="183"/>
      <c r="AU122" s="183"/>
      <c r="AV122" s="183"/>
      <c r="AW122" s="185"/>
      <c r="AX122" s="130"/>
      <c r="AY122" s="130"/>
      <c r="AZ122" s="130"/>
      <c r="BA122" s="130"/>
      <c r="BB122" s="130"/>
      <c r="BC122" s="130"/>
      <c r="BD122" s="130"/>
      <c r="BE122" s="130"/>
      <c r="BF122" s="130"/>
    </row>
    <row r="123" spans="1:58" s="37" customFormat="1" x14ac:dyDescent="0.2">
      <c r="A123" s="171" t="s">
        <v>1416</v>
      </c>
      <c r="B123" s="171" t="s">
        <v>601</v>
      </c>
      <c r="C123" s="171" t="s">
        <v>507</v>
      </c>
      <c r="D123" s="172" t="s">
        <v>345</v>
      </c>
      <c r="E123" s="172" t="s">
        <v>161</v>
      </c>
      <c r="F123" s="172"/>
      <c r="G123" s="172" t="s">
        <v>49</v>
      </c>
      <c r="H123" s="172" t="s">
        <v>50</v>
      </c>
      <c r="I123" s="172" t="s">
        <v>594</v>
      </c>
      <c r="J123" s="172" t="s">
        <v>650</v>
      </c>
      <c r="K123" s="171" t="s">
        <v>332</v>
      </c>
      <c r="L123" s="172" t="s">
        <v>332</v>
      </c>
      <c r="M123" s="172" t="s">
        <v>162</v>
      </c>
      <c r="N123" s="172" t="s">
        <v>772</v>
      </c>
      <c r="O123" s="172" t="s">
        <v>548</v>
      </c>
      <c r="P123" s="178">
        <v>44278</v>
      </c>
      <c r="Q123" s="171"/>
      <c r="R123" s="171"/>
      <c r="S123" s="172"/>
      <c r="T123" s="171"/>
      <c r="U123" s="171"/>
      <c r="V123" s="171"/>
      <c r="W123" s="171"/>
      <c r="X123" s="172"/>
      <c r="Y123" s="171"/>
      <c r="Z123" s="174"/>
      <c r="AA123" s="175" t="s">
        <v>332</v>
      </c>
      <c r="AB123" s="175" t="s">
        <v>742</v>
      </c>
      <c r="AC123" s="174" t="s">
        <v>332</v>
      </c>
      <c r="AD123" s="174" t="s">
        <v>332</v>
      </c>
      <c r="AE123" s="174" t="s">
        <v>332</v>
      </c>
      <c r="AF123" s="174" t="s">
        <v>1479</v>
      </c>
      <c r="AG123" s="174" t="s">
        <v>162</v>
      </c>
      <c r="AH123" s="174"/>
      <c r="AI123" s="176" t="s">
        <v>963</v>
      </c>
      <c r="AJ123" s="177" t="s">
        <v>742</v>
      </c>
      <c r="AK123" s="177" t="s">
        <v>332</v>
      </c>
      <c r="AL123" s="177"/>
      <c r="AM123" s="177"/>
      <c r="AN123" s="177" t="s">
        <v>963</v>
      </c>
      <c r="AO123" s="174"/>
      <c r="AP123" s="174"/>
      <c r="AQ123" s="174"/>
      <c r="AR123" s="174"/>
      <c r="AS123" s="174"/>
      <c r="AT123" s="174"/>
      <c r="AU123" s="174"/>
      <c r="AV123" s="174"/>
      <c r="AW123" s="176"/>
      <c r="AX123" s="130"/>
      <c r="AY123" s="130"/>
      <c r="AZ123" s="130"/>
      <c r="BA123" s="130"/>
      <c r="BB123" s="130"/>
      <c r="BC123" s="130"/>
      <c r="BD123" s="130"/>
      <c r="BE123" s="130"/>
      <c r="BF123" s="130"/>
    </row>
    <row r="124" spans="1:58" s="37" customFormat="1" ht="114.75" x14ac:dyDescent="0.2">
      <c r="A124" s="180" t="s">
        <v>1416</v>
      </c>
      <c r="B124" s="180" t="s">
        <v>601</v>
      </c>
      <c r="C124" s="180" t="s">
        <v>507</v>
      </c>
      <c r="D124" s="181" t="s">
        <v>345</v>
      </c>
      <c r="E124" s="180" t="s">
        <v>751</v>
      </c>
      <c r="F124" s="180"/>
      <c r="G124" s="181" t="s">
        <v>157</v>
      </c>
      <c r="H124" s="181" t="s">
        <v>725</v>
      </c>
      <c r="I124" s="181" t="s">
        <v>594</v>
      </c>
      <c r="J124" s="181" t="s">
        <v>650</v>
      </c>
      <c r="K124" s="180" t="s">
        <v>566</v>
      </c>
      <c r="L124" s="180" t="s">
        <v>332</v>
      </c>
      <c r="M124" s="180"/>
      <c r="N124" s="181" t="s">
        <v>770</v>
      </c>
      <c r="O124" s="188"/>
      <c r="P124" s="194">
        <v>44278</v>
      </c>
      <c r="Q124" s="180" t="s">
        <v>947</v>
      </c>
      <c r="R124" s="180" t="s">
        <v>947</v>
      </c>
      <c r="S124" s="181" t="s">
        <v>36</v>
      </c>
      <c r="T124" s="180" t="s">
        <v>1206</v>
      </c>
      <c r="U124" s="180" t="s">
        <v>1212</v>
      </c>
      <c r="V124" s="180" t="s">
        <v>566</v>
      </c>
      <c r="W124" s="180"/>
      <c r="X124" s="199" t="s">
        <v>1543</v>
      </c>
      <c r="Y124" s="199"/>
      <c r="Z124" s="199"/>
      <c r="AA124" s="175" t="s">
        <v>566</v>
      </c>
      <c r="AB124" s="175" t="s">
        <v>742</v>
      </c>
      <c r="AC124" s="183" t="s">
        <v>566</v>
      </c>
      <c r="AD124" s="183" t="s">
        <v>332</v>
      </c>
      <c r="AE124" s="183" t="s">
        <v>332</v>
      </c>
      <c r="AF124" s="183" t="s">
        <v>1549</v>
      </c>
      <c r="AG124" s="183"/>
      <c r="AH124" s="183"/>
      <c r="AI124" s="185" t="s">
        <v>963</v>
      </c>
      <c r="AJ124" s="198" t="s">
        <v>1153</v>
      </c>
      <c r="AK124" s="177" t="s">
        <v>332</v>
      </c>
      <c r="AL124" s="177"/>
      <c r="AM124" s="177"/>
      <c r="AN124" s="177" t="s">
        <v>963</v>
      </c>
      <c r="AO124" s="183"/>
      <c r="AP124" s="183"/>
      <c r="AQ124" s="183"/>
      <c r="AR124" s="183"/>
      <c r="AS124" s="183"/>
      <c r="AT124" s="183"/>
      <c r="AU124" s="183"/>
      <c r="AV124" s="183"/>
      <c r="AW124" s="185"/>
      <c r="AX124" s="130"/>
      <c r="AY124" s="130"/>
      <c r="AZ124" s="130"/>
      <c r="BA124" s="130"/>
      <c r="BB124" s="130"/>
      <c r="BC124" s="130"/>
      <c r="BD124" s="130"/>
      <c r="BE124" s="130"/>
      <c r="BF124" s="130"/>
    </row>
    <row r="125" spans="1:58" s="37" customFormat="1" ht="25.5" x14ac:dyDescent="0.2">
      <c r="A125" s="171" t="s">
        <v>1416</v>
      </c>
      <c r="B125" s="171" t="s">
        <v>601</v>
      </c>
      <c r="C125" s="171" t="s">
        <v>507</v>
      </c>
      <c r="D125" s="171" t="s">
        <v>37</v>
      </c>
      <c r="E125" s="171" t="s">
        <v>24</v>
      </c>
      <c r="F125" s="171"/>
      <c r="G125" s="171" t="s">
        <v>130</v>
      </c>
      <c r="H125" s="171" t="s">
        <v>131</v>
      </c>
      <c r="I125" s="171" t="s">
        <v>594</v>
      </c>
      <c r="J125" s="171" t="s">
        <v>37</v>
      </c>
      <c r="K125" s="171" t="s">
        <v>389</v>
      </c>
      <c r="L125" s="171" t="s">
        <v>332</v>
      </c>
      <c r="M125" s="171" t="s">
        <v>130</v>
      </c>
      <c r="N125" s="172" t="s">
        <v>579</v>
      </c>
      <c r="O125" s="172" t="s">
        <v>554</v>
      </c>
      <c r="P125" s="173">
        <v>44273</v>
      </c>
      <c r="Q125" s="171" t="s">
        <v>389</v>
      </c>
      <c r="R125" s="171" t="s">
        <v>389</v>
      </c>
      <c r="S125" s="172"/>
      <c r="T125" s="171" t="s">
        <v>1206</v>
      </c>
      <c r="U125" s="171" t="s">
        <v>1387</v>
      </c>
      <c r="V125" s="171" t="s">
        <v>389</v>
      </c>
      <c r="W125" s="171"/>
      <c r="X125" s="171" t="s">
        <v>1383</v>
      </c>
      <c r="Y125" s="171"/>
      <c r="Z125" s="174" t="s">
        <v>1384</v>
      </c>
      <c r="AA125" s="200" t="s">
        <v>1042</v>
      </c>
      <c r="AB125" s="200" t="s">
        <v>1313</v>
      </c>
      <c r="AC125" s="171" t="s">
        <v>1042</v>
      </c>
      <c r="AD125" s="171" t="s">
        <v>332</v>
      </c>
      <c r="AE125" s="174" t="s">
        <v>332</v>
      </c>
      <c r="AF125" s="174" t="s">
        <v>1549</v>
      </c>
      <c r="AG125" s="174"/>
      <c r="AH125" s="174"/>
      <c r="AI125" s="176" t="s">
        <v>1514</v>
      </c>
      <c r="AJ125" s="201" t="s">
        <v>1313</v>
      </c>
      <c r="AK125" s="201" t="s">
        <v>332</v>
      </c>
      <c r="AL125" s="177"/>
      <c r="AM125" s="177"/>
      <c r="AN125" s="177" t="s">
        <v>1043</v>
      </c>
      <c r="AO125" s="174"/>
      <c r="AP125" s="174"/>
      <c r="AQ125" s="174"/>
      <c r="AR125" s="174"/>
      <c r="AS125" s="174"/>
      <c r="AT125" s="174"/>
      <c r="AU125" s="174"/>
      <c r="AV125" s="174"/>
      <c r="AW125" s="176"/>
      <c r="AX125" s="140"/>
      <c r="AY125" s="140"/>
      <c r="AZ125" s="140"/>
      <c r="BA125" s="140"/>
      <c r="BB125" s="140"/>
      <c r="BC125" s="140"/>
      <c r="BD125" s="140"/>
      <c r="BE125" s="140"/>
      <c r="BF125" s="140"/>
    </row>
    <row r="126" spans="1:58" s="37" customFormat="1" ht="25.5" x14ac:dyDescent="0.2">
      <c r="A126" s="171" t="s">
        <v>1416</v>
      </c>
      <c r="B126" s="171" t="s">
        <v>601</v>
      </c>
      <c r="C126" s="171" t="s">
        <v>507</v>
      </c>
      <c r="D126" s="171" t="s">
        <v>37</v>
      </c>
      <c r="E126" s="171" t="s">
        <v>0</v>
      </c>
      <c r="F126" s="171"/>
      <c r="G126" s="172" t="s">
        <v>157</v>
      </c>
      <c r="H126" s="171">
        <v>67891</v>
      </c>
      <c r="I126" s="171" t="s">
        <v>594</v>
      </c>
      <c r="J126" s="171" t="s">
        <v>37</v>
      </c>
      <c r="K126" s="171" t="s">
        <v>0</v>
      </c>
      <c r="L126" s="171" t="s">
        <v>332</v>
      </c>
      <c r="M126" s="171" t="s">
        <v>44</v>
      </c>
      <c r="N126" s="172" t="s">
        <v>580</v>
      </c>
      <c r="O126" s="172" t="s">
        <v>554</v>
      </c>
      <c r="P126" s="173">
        <v>44273</v>
      </c>
      <c r="Q126" s="171" t="s">
        <v>0</v>
      </c>
      <c r="R126" s="171" t="s">
        <v>0</v>
      </c>
      <c r="S126" s="172" t="s">
        <v>36</v>
      </c>
      <c r="T126" s="171"/>
      <c r="U126" s="171"/>
      <c r="V126" s="171"/>
      <c r="W126" s="171"/>
      <c r="X126" s="171" t="s">
        <v>332</v>
      </c>
      <c r="Y126" s="171" t="s">
        <v>332</v>
      </c>
      <c r="Z126" s="171" t="s">
        <v>332</v>
      </c>
      <c r="AA126" s="200" t="s">
        <v>1040</v>
      </c>
      <c r="AB126" s="200" t="s">
        <v>1313</v>
      </c>
      <c r="AC126" s="171" t="s">
        <v>332</v>
      </c>
      <c r="AD126" s="174" t="s">
        <v>332</v>
      </c>
      <c r="AE126" s="174" t="s">
        <v>332</v>
      </c>
      <c r="AF126" s="174" t="s">
        <v>1479</v>
      </c>
      <c r="AG126" s="174"/>
      <c r="AH126" s="174"/>
      <c r="AI126" s="176" t="s">
        <v>963</v>
      </c>
      <c r="AJ126" s="177"/>
      <c r="AK126" s="201" t="s">
        <v>332</v>
      </c>
      <c r="AL126" s="177"/>
      <c r="AM126" s="177">
        <f>SUBTOTAL(9,H126:Y126)</f>
        <v>112164</v>
      </c>
      <c r="AN126" s="177" t="s">
        <v>963</v>
      </c>
      <c r="AO126" s="174"/>
      <c r="AP126" s="174"/>
      <c r="AQ126" s="174"/>
      <c r="AR126" s="174"/>
      <c r="AS126" s="174"/>
      <c r="AT126" s="174"/>
      <c r="AU126" s="174"/>
      <c r="AV126" s="174"/>
      <c r="AW126" s="176"/>
      <c r="AX126" s="140"/>
      <c r="AY126" s="140"/>
      <c r="AZ126" s="140"/>
      <c r="BA126" s="140"/>
      <c r="BB126" s="140"/>
      <c r="BC126" s="140"/>
      <c r="BD126" s="140"/>
      <c r="BE126" s="140"/>
      <c r="BF126" s="140"/>
    </row>
    <row r="127" spans="1:58" s="37" customFormat="1" ht="25.5" x14ac:dyDescent="0.2">
      <c r="A127" s="180" t="s">
        <v>1416</v>
      </c>
      <c r="B127" s="180" t="s">
        <v>601</v>
      </c>
      <c r="C127" s="180" t="s">
        <v>507</v>
      </c>
      <c r="D127" s="180" t="s">
        <v>37</v>
      </c>
      <c r="E127" s="180" t="s">
        <v>2</v>
      </c>
      <c r="F127" s="180"/>
      <c r="G127" s="181" t="s">
        <v>157</v>
      </c>
      <c r="H127" s="180"/>
      <c r="I127" s="180" t="s">
        <v>594</v>
      </c>
      <c r="J127" s="180" t="s">
        <v>37</v>
      </c>
      <c r="K127" s="180" t="s">
        <v>569</v>
      </c>
      <c r="L127" s="180" t="s">
        <v>332</v>
      </c>
      <c r="M127" s="180" t="s">
        <v>44</v>
      </c>
      <c r="N127" s="181" t="s">
        <v>583</v>
      </c>
      <c r="O127" s="181" t="s">
        <v>556</v>
      </c>
      <c r="P127" s="182">
        <v>44273</v>
      </c>
      <c r="Q127" s="180" t="s">
        <v>569</v>
      </c>
      <c r="R127" s="180" t="s">
        <v>569</v>
      </c>
      <c r="S127" s="181" t="s">
        <v>36</v>
      </c>
      <c r="T127" s="180" t="s">
        <v>1206</v>
      </c>
      <c r="U127" s="180" t="s">
        <v>1387</v>
      </c>
      <c r="V127" s="180" t="s">
        <v>569</v>
      </c>
      <c r="W127" s="180"/>
      <c r="X127" s="180" t="s">
        <v>1383</v>
      </c>
      <c r="Y127" s="180"/>
      <c r="Z127" s="183"/>
      <c r="AA127" s="200" t="s">
        <v>955</v>
      </c>
      <c r="AB127" s="200" t="s">
        <v>1313</v>
      </c>
      <c r="AC127" s="180" t="s">
        <v>955</v>
      </c>
      <c r="AD127" s="180" t="s">
        <v>332</v>
      </c>
      <c r="AE127" s="180" t="s">
        <v>332</v>
      </c>
      <c r="AF127" s="174" t="s">
        <v>1549</v>
      </c>
      <c r="AG127" s="183"/>
      <c r="AH127" s="183"/>
      <c r="AI127" s="185" t="s">
        <v>1050</v>
      </c>
      <c r="AJ127" s="201" t="s">
        <v>1313</v>
      </c>
      <c r="AK127" s="201" t="s">
        <v>332</v>
      </c>
      <c r="AL127" s="177"/>
      <c r="AM127" s="177"/>
      <c r="AN127" s="177" t="s">
        <v>1050</v>
      </c>
      <c r="AO127" s="183"/>
      <c r="AP127" s="183"/>
      <c r="AQ127" s="183"/>
      <c r="AR127" s="183"/>
      <c r="AS127" s="183"/>
      <c r="AT127" s="183"/>
      <c r="AU127" s="183"/>
      <c r="AV127" s="183"/>
      <c r="AW127" s="185"/>
      <c r="AX127" s="140"/>
      <c r="AY127" s="140"/>
      <c r="AZ127" s="140"/>
      <c r="BA127" s="140"/>
      <c r="BB127" s="140"/>
      <c r="BC127" s="140"/>
      <c r="BD127" s="140"/>
      <c r="BE127" s="140"/>
      <c r="BF127" s="140"/>
    </row>
    <row r="128" spans="1:58" s="37" customFormat="1" ht="25.5" x14ac:dyDescent="0.2">
      <c r="A128" s="171" t="s">
        <v>1416</v>
      </c>
      <c r="B128" s="171" t="s">
        <v>601</v>
      </c>
      <c r="C128" s="171" t="s">
        <v>507</v>
      </c>
      <c r="D128" s="171" t="s">
        <v>37</v>
      </c>
      <c r="E128" s="171" t="s">
        <v>22</v>
      </c>
      <c r="F128" s="171"/>
      <c r="G128" s="172" t="s">
        <v>157</v>
      </c>
      <c r="H128" s="171"/>
      <c r="I128" s="171" t="s">
        <v>594</v>
      </c>
      <c r="J128" s="171" t="s">
        <v>37</v>
      </c>
      <c r="K128" s="171" t="s">
        <v>572</v>
      </c>
      <c r="L128" s="171" t="s">
        <v>332</v>
      </c>
      <c r="M128" s="171" t="s">
        <v>44</v>
      </c>
      <c r="N128" s="172" t="s">
        <v>584</v>
      </c>
      <c r="O128" s="172" t="s">
        <v>554</v>
      </c>
      <c r="P128" s="173">
        <v>44273</v>
      </c>
      <c r="Q128" s="171" t="s">
        <v>572</v>
      </c>
      <c r="R128" s="171" t="s">
        <v>572</v>
      </c>
      <c r="S128" s="172" t="s">
        <v>36</v>
      </c>
      <c r="T128" s="171" t="s">
        <v>1206</v>
      </c>
      <c r="U128" s="171" t="s">
        <v>1387</v>
      </c>
      <c r="V128" s="171" t="s">
        <v>572</v>
      </c>
      <c r="W128" s="171"/>
      <c r="X128" s="171" t="s">
        <v>1383</v>
      </c>
      <c r="Y128" s="171"/>
      <c r="Z128" s="174"/>
      <c r="AA128" s="200" t="s">
        <v>572</v>
      </c>
      <c r="AB128" s="200" t="s">
        <v>1313</v>
      </c>
      <c r="AC128" s="171"/>
      <c r="AD128" s="171" t="s">
        <v>332</v>
      </c>
      <c r="AE128" s="174" t="s">
        <v>332</v>
      </c>
      <c r="AF128" s="174" t="s">
        <v>1549</v>
      </c>
      <c r="AG128" s="174"/>
      <c r="AH128" s="174"/>
      <c r="AI128" s="176" t="s">
        <v>963</v>
      </c>
      <c r="AJ128" s="201" t="s">
        <v>1313</v>
      </c>
      <c r="AK128" s="201" t="s">
        <v>332</v>
      </c>
      <c r="AL128" s="177"/>
      <c r="AM128" s="177"/>
      <c r="AN128" s="177" t="s">
        <v>963</v>
      </c>
      <c r="AO128" s="174"/>
      <c r="AP128" s="174"/>
      <c r="AQ128" s="174"/>
      <c r="AR128" s="174"/>
      <c r="AS128" s="174"/>
      <c r="AT128" s="174"/>
      <c r="AU128" s="174"/>
      <c r="AV128" s="174"/>
      <c r="AW128" s="176"/>
      <c r="AX128" s="140"/>
      <c r="AY128" s="140"/>
      <c r="AZ128" s="140"/>
      <c r="BA128" s="140"/>
      <c r="BB128" s="140"/>
      <c r="BC128" s="140"/>
      <c r="BD128" s="140"/>
      <c r="BE128" s="140"/>
      <c r="BF128" s="140"/>
    </row>
    <row r="129" spans="1:58" s="37" customFormat="1" ht="38.25" x14ac:dyDescent="0.2">
      <c r="A129" s="171" t="s">
        <v>1416</v>
      </c>
      <c r="B129" s="171" t="s">
        <v>601</v>
      </c>
      <c r="C129" s="171" t="s">
        <v>507</v>
      </c>
      <c r="D129" s="171" t="s">
        <v>37</v>
      </c>
      <c r="E129" s="171" t="s">
        <v>30</v>
      </c>
      <c r="F129" s="171"/>
      <c r="G129" s="172" t="s">
        <v>157</v>
      </c>
      <c r="H129" s="171"/>
      <c r="I129" s="171" t="s">
        <v>594</v>
      </c>
      <c r="J129" s="171" t="s">
        <v>37</v>
      </c>
      <c r="K129" s="171" t="s">
        <v>566</v>
      </c>
      <c r="L129" s="171" t="s">
        <v>332</v>
      </c>
      <c r="M129" s="171" t="s">
        <v>44</v>
      </c>
      <c r="N129" s="172" t="s">
        <v>585</v>
      </c>
      <c r="O129" s="172" t="s">
        <v>555</v>
      </c>
      <c r="P129" s="173">
        <v>44273</v>
      </c>
      <c r="Q129" s="171" t="s">
        <v>566</v>
      </c>
      <c r="R129" s="171" t="s">
        <v>566</v>
      </c>
      <c r="S129" s="172" t="s">
        <v>36</v>
      </c>
      <c r="T129" s="171" t="s">
        <v>1206</v>
      </c>
      <c r="U129" s="171" t="s">
        <v>1387</v>
      </c>
      <c r="V129" s="171" t="s">
        <v>566</v>
      </c>
      <c r="W129" s="171"/>
      <c r="X129" s="171" t="s">
        <v>1383</v>
      </c>
      <c r="Y129" s="171" t="s">
        <v>1038</v>
      </c>
      <c r="Z129" s="174" t="s">
        <v>1384</v>
      </c>
      <c r="AA129" s="200" t="s">
        <v>566</v>
      </c>
      <c r="AB129" s="200" t="s">
        <v>1313</v>
      </c>
      <c r="AC129" s="171" t="s">
        <v>332</v>
      </c>
      <c r="AD129" s="171" t="s">
        <v>332</v>
      </c>
      <c r="AE129" s="174" t="s">
        <v>332</v>
      </c>
      <c r="AF129" s="174" t="s">
        <v>1549</v>
      </c>
      <c r="AG129" s="174"/>
      <c r="AH129" s="174"/>
      <c r="AI129" s="176" t="s">
        <v>1051</v>
      </c>
      <c r="AJ129" s="201" t="s">
        <v>1313</v>
      </c>
      <c r="AK129" s="201" t="s">
        <v>332</v>
      </c>
      <c r="AL129" s="177"/>
      <c r="AM129" s="177"/>
      <c r="AN129" s="177" t="s">
        <v>1051</v>
      </c>
      <c r="AO129" s="174"/>
      <c r="AP129" s="174"/>
      <c r="AQ129" s="174"/>
      <c r="AR129" s="174"/>
      <c r="AS129" s="174"/>
      <c r="AT129" s="174"/>
      <c r="AU129" s="174"/>
      <c r="AV129" s="174"/>
      <c r="AW129" s="176"/>
      <c r="AX129" s="140"/>
      <c r="AY129" s="140"/>
      <c r="AZ129" s="140"/>
      <c r="BA129" s="140"/>
      <c r="BB129" s="140"/>
      <c r="BC129" s="140"/>
      <c r="BD129" s="140"/>
      <c r="BE129" s="140"/>
      <c r="BF129" s="140"/>
    </row>
    <row r="130" spans="1:58" ht="25.5" customHeight="1" x14ac:dyDescent="0.2">
      <c r="A130" s="171" t="s">
        <v>1416</v>
      </c>
      <c r="B130" s="171" t="s">
        <v>601</v>
      </c>
      <c r="C130" s="171" t="s">
        <v>507</v>
      </c>
      <c r="D130" s="171" t="s">
        <v>37</v>
      </c>
      <c r="E130" s="171" t="s">
        <v>33</v>
      </c>
      <c r="F130" s="171"/>
      <c r="G130" s="172" t="s">
        <v>157</v>
      </c>
      <c r="H130" s="171"/>
      <c r="I130" s="171" t="s">
        <v>594</v>
      </c>
      <c r="J130" s="171" t="s">
        <v>37</v>
      </c>
      <c r="K130" s="171" t="s">
        <v>574</v>
      </c>
      <c r="L130" s="171" t="s">
        <v>332</v>
      </c>
      <c r="M130" s="171" t="s">
        <v>44</v>
      </c>
      <c r="N130" s="172" t="s">
        <v>587</v>
      </c>
      <c r="O130" s="172" t="s">
        <v>555</v>
      </c>
      <c r="P130" s="173">
        <v>44273</v>
      </c>
      <c r="Q130" s="171" t="s">
        <v>574</v>
      </c>
      <c r="R130" s="171" t="s">
        <v>574</v>
      </c>
      <c r="S130" s="172" t="s">
        <v>36</v>
      </c>
      <c r="T130" s="171" t="s">
        <v>1206</v>
      </c>
      <c r="U130" s="171" t="s">
        <v>1387</v>
      </c>
      <c r="V130" s="171" t="s">
        <v>574</v>
      </c>
      <c r="W130" s="171"/>
      <c r="X130" s="171" t="s">
        <v>1383</v>
      </c>
      <c r="Y130" s="171" t="s">
        <v>1038</v>
      </c>
      <c r="Z130" s="174" t="s">
        <v>1384</v>
      </c>
      <c r="AA130" s="200" t="s">
        <v>574</v>
      </c>
      <c r="AB130" s="200" t="s">
        <v>1313</v>
      </c>
      <c r="AC130" s="171" t="s">
        <v>332</v>
      </c>
      <c r="AD130" s="171" t="s">
        <v>332</v>
      </c>
      <c r="AE130" s="174" t="s">
        <v>332</v>
      </c>
      <c r="AF130" s="174" t="s">
        <v>1479</v>
      </c>
      <c r="AG130" s="174"/>
      <c r="AH130" s="174"/>
      <c r="AI130" s="176" t="s">
        <v>963</v>
      </c>
      <c r="AJ130" s="201" t="s">
        <v>1313</v>
      </c>
      <c r="AK130" s="201" t="s">
        <v>332</v>
      </c>
      <c r="AL130" s="177"/>
      <c r="AM130" s="177"/>
      <c r="AN130" s="177" t="s">
        <v>963</v>
      </c>
      <c r="AO130" s="174"/>
      <c r="AP130" s="174"/>
      <c r="AQ130" s="174"/>
      <c r="AR130" s="174"/>
      <c r="AS130" s="174"/>
      <c r="AT130" s="174"/>
      <c r="AU130" s="174"/>
      <c r="AV130" s="174"/>
      <c r="AW130" s="176"/>
      <c r="AX130" s="140"/>
      <c r="AY130" s="140"/>
      <c r="AZ130" s="140"/>
      <c r="BA130" s="140"/>
      <c r="BB130" s="140"/>
      <c r="BC130" s="175"/>
      <c r="BD130" s="140"/>
      <c r="BE130" s="140"/>
      <c r="BF130" s="140"/>
    </row>
    <row r="131" spans="1:58" ht="25.5" customHeight="1" x14ac:dyDescent="0.2">
      <c r="A131" s="171" t="s">
        <v>1416</v>
      </c>
      <c r="B131" s="171" t="s">
        <v>601</v>
      </c>
      <c r="C131" s="171" t="s">
        <v>507</v>
      </c>
      <c r="D131" s="171" t="s">
        <v>37</v>
      </c>
      <c r="E131" s="171" t="s">
        <v>23</v>
      </c>
      <c r="F131" s="171"/>
      <c r="G131" s="171" t="s">
        <v>130</v>
      </c>
      <c r="H131" s="171" t="s">
        <v>131</v>
      </c>
      <c r="I131" s="171" t="s">
        <v>594</v>
      </c>
      <c r="J131" s="171" t="s">
        <v>37</v>
      </c>
      <c r="K131" s="171" t="s">
        <v>394</v>
      </c>
      <c r="L131" s="171" t="s">
        <v>332</v>
      </c>
      <c r="M131" s="171" t="s">
        <v>130</v>
      </c>
      <c r="N131" s="172" t="s">
        <v>588</v>
      </c>
      <c r="O131" s="172" t="s">
        <v>554</v>
      </c>
      <c r="P131" s="173">
        <v>44273</v>
      </c>
      <c r="Q131" s="171" t="s">
        <v>394</v>
      </c>
      <c r="R131" s="171" t="s">
        <v>394</v>
      </c>
      <c r="S131" s="172"/>
      <c r="T131" s="171" t="s">
        <v>1206</v>
      </c>
      <c r="U131" s="171" t="s">
        <v>1387</v>
      </c>
      <c r="V131" s="171" t="s">
        <v>394</v>
      </c>
      <c r="W131" s="171"/>
      <c r="X131" s="171" t="s">
        <v>1383</v>
      </c>
      <c r="Y131" s="171" t="s">
        <v>1038</v>
      </c>
      <c r="Z131" s="174" t="s">
        <v>1384</v>
      </c>
      <c r="AA131" s="200" t="s">
        <v>394</v>
      </c>
      <c r="AB131" s="200" t="s">
        <v>1313</v>
      </c>
      <c r="AC131" s="171" t="s">
        <v>332</v>
      </c>
      <c r="AD131" s="171" t="s">
        <v>332</v>
      </c>
      <c r="AE131" s="174" t="s">
        <v>332</v>
      </c>
      <c r="AF131" s="174" t="s">
        <v>1479</v>
      </c>
      <c r="AG131" s="174"/>
      <c r="AH131" s="174"/>
      <c r="AI131" s="176" t="s">
        <v>963</v>
      </c>
      <c r="AJ131" s="201" t="s">
        <v>1313</v>
      </c>
      <c r="AK131" s="201" t="s">
        <v>332</v>
      </c>
      <c r="AL131" s="177"/>
      <c r="AM131" s="198"/>
      <c r="AN131" s="177" t="s">
        <v>963</v>
      </c>
      <c r="AO131" s="174"/>
      <c r="AP131" s="174"/>
      <c r="AQ131" s="174"/>
      <c r="AR131" s="174"/>
      <c r="AS131" s="174"/>
      <c r="AT131" s="174"/>
      <c r="AU131" s="174"/>
      <c r="AV131" s="174"/>
      <c r="AW131" s="176"/>
      <c r="AX131" s="37"/>
      <c r="AY131" s="37"/>
      <c r="AZ131" s="37"/>
      <c r="BA131" s="37"/>
      <c r="BB131" s="37"/>
      <c r="BC131" s="205"/>
      <c r="BD131" s="37"/>
      <c r="BE131" s="37"/>
      <c r="BF131" s="37"/>
    </row>
    <row r="132" spans="1:58" ht="38.25" customHeight="1" x14ac:dyDescent="0.2">
      <c r="A132" s="171" t="s">
        <v>1416</v>
      </c>
      <c r="B132" s="171" t="s">
        <v>601</v>
      </c>
      <c r="C132" s="171" t="s">
        <v>507</v>
      </c>
      <c r="D132" s="171" t="s">
        <v>37</v>
      </c>
      <c r="E132" s="171" t="s">
        <v>34</v>
      </c>
      <c r="F132" s="171"/>
      <c r="G132" s="171" t="s">
        <v>661</v>
      </c>
      <c r="H132" s="171" t="s">
        <v>126</v>
      </c>
      <c r="I132" s="171" t="s">
        <v>594</v>
      </c>
      <c r="J132" s="171" t="s">
        <v>37</v>
      </c>
      <c r="K132" s="171" t="s">
        <v>576</v>
      </c>
      <c r="L132" s="171" t="s">
        <v>332</v>
      </c>
      <c r="M132" s="171" t="s">
        <v>154</v>
      </c>
      <c r="N132" s="172" t="s">
        <v>372</v>
      </c>
      <c r="O132" s="172" t="s">
        <v>557</v>
      </c>
      <c r="P132" s="173">
        <v>44273</v>
      </c>
      <c r="Q132" s="171" t="s">
        <v>576</v>
      </c>
      <c r="R132" s="171" t="s">
        <v>576</v>
      </c>
      <c r="S132" s="172"/>
      <c r="T132" s="171" t="s">
        <v>1206</v>
      </c>
      <c r="U132" s="171" t="s">
        <v>1387</v>
      </c>
      <c r="V132" s="171" t="s">
        <v>576</v>
      </c>
      <c r="W132" s="171"/>
      <c r="X132" s="171"/>
      <c r="Y132" s="171"/>
      <c r="Z132" s="174"/>
      <c r="AA132" s="200" t="s">
        <v>1029</v>
      </c>
      <c r="AB132" s="200" t="s">
        <v>1313</v>
      </c>
      <c r="AC132" s="171" t="s">
        <v>332</v>
      </c>
      <c r="AD132" s="171" t="s">
        <v>332</v>
      </c>
      <c r="AE132" s="174" t="s">
        <v>332</v>
      </c>
      <c r="AF132" s="174" t="s">
        <v>1479</v>
      </c>
      <c r="AG132" s="174"/>
      <c r="AH132" s="174"/>
      <c r="AI132" s="176" t="s">
        <v>963</v>
      </c>
      <c r="AJ132" s="201" t="s">
        <v>1313</v>
      </c>
      <c r="AK132" s="201" t="s">
        <v>332</v>
      </c>
      <c r="AL132" s="177"/>
      <c r="AM132" s="198"/>
      <c r="AN132" s="177" t="s">
        <v>963</v>
      </c>
      <c r="AO132" s="174"/>
      <c r="AP132" s="174"/>
      <c r="AQ132" s="174"/>
      <c r="AR132" s="174"/>
      <c r="AS132" s="174"/>
      <c r="AT132" s="174"/>
      <c r="AU132" s="174"/>
      <c r="AV132" s="174"/>
      <c r="AW132" s="176"/>
      <c r="AX132" s="37"/>
      <c r="AY132" s="37"/>
      <c r="AZ132" s="37"/>
      <c r="BA132" s="37"/>
      <c r="BB132" s="37"/>
      <c r="BC132" s="205"/>
      <c r="BD132" s="37"/>
      <c r="BE132" s="37"/>
      <c r="BF132" s="37"/>
    </row>
    <row r="133" spans="1:58" ht="76.5" customHeight="1" x14ac:dyDescent="0.2">
      <c r="A133" s="171" t="s">
        <v>1416</v>
      </c>
      <c r="B133" s="171" t="s">
        <v>601</v>
      </c>
      <c r="C133" s="171" t="s">
        <v>507</v>
      </c>
      <c r="D133" s="172" t="s">
        <v>38</v>
      </c>
      <c r="E133" s="171" t="s">
        <v>255</v>
      </c>
      <c r="F133" s="171"/>
      <c r="G133" s="171"/>
      <c r="H133" s="173">
        <v>44228</v>
      </c>
      <c r="I133" s="171" t="s">
        <v>594</v>
      </c>
      <c r="J133" s="172" t="s">
        <v>757</v>
      </c>
      <c r="K133" s="171" t="s">
        <v>255</v>
      </c>
      <c r="L133" s="171" t="s">
        <v>621</v>
      </c>
      <c r="M133" s="171" t="s">
        <v>342</v>
      </c>
      <c r="N133" s="171" t="s">
        <v>936</v>
      </c>
      <c r="O133" s="172" t="s">
        <v>342</v>
      </c>
      <c r="P133" s="178">
        <v>44281</v>
      </c>
      <c r="Q133" s="171" t="s">
        <v>255</v>
      </c>
      <c r="R133" s="171" t="s">
        <v>255</v>
      </c>
      <c r="S133" s="172"/>
      <c r="T133" s="171"/>
      <c r="U133" s="171"/>
      <c r="V133" s="171"/>
      <c r="W133" s="171"/>
      <c r="X133" s="171"/>
      <c r="Y133" s="171"/>
      <c r="Z133" s="174"/>
      <c r="AA133" s="205"/>
      <c r="AB133" s="205"/>
      <c r="AC133" s="174" t="s">
        <v>332</v>
      </c>
      <c r="AD133" s="174" t="s">
        <v>332</v>
      </c>
      <c r="AE133" s="174" t="s">
        <v>621</v>
      </c>
      <c r="AF133" s="174" t="s">
        <v>1479</v>
      </c>
      <c r="AG133" s="174"/>
      <c r="AH133" s="174"/>
      <c r="AI133" s="176" t="s">
        <v>1060</v>
      </c>
      <c r="AJ133" s="198"/>
      <c r="AK133" s="177" t="s">
        <v>621</v>
      </c>
      <c r="AL133" s="198"/>
      <c r="AM133" s="198"/>
      <c r="AN133" s="177" t="s">
        <v>1060</v>
      </c>
      <c r="AO133" s="174"/>
      <c r="AP133" s="174"/>
      <c r="AQ133" s="174"/>
      <c r="AR133" s="174"/>
      <c r="AS133" s="174"/>
      <c r="AT133" s="174"/>
      <c r="AU133" s="174"/>
      <c r="AV133" s="174"/>
      <c r="AW133" s="176"/>
      <c r="AX133" s="37"/>
      <c r="AY133" s="37"/>
      <c r="AZ133" s="37"/>
      <c r="BA133" s="37"/>
      <c r="BB133" s="37"/>
      <c r="BC133" s="37"/>
      <c r="BD133" s="37"/>
      <c r="BE133" s="37"/>
      <c r="BF133" s="37"/>
    </row>
    <row r="134" spans="1:58" ht="25.5" customHeight="1" x14ac:dyDescent="0.2">
      <c r="A134" s="171" t="s">
        <v>1416</v>
      </c>
      <c r="B134" s="171" t="s">
        <v>601</v>
      </c>
      <c r="C134" s="171" t="s">
        <v>507</v>
      </c>
      <c r="D134" s="172" t="s">
        <v>39</v>
      </c>
      <c r="E134" s="171" t="s">
        <v>63</v>
      </c>
      <c r="F134" s="171"/>
      <c r="G134" s="172" t="s">
        <v>45</v>
      </c>
      <c r="H134" s="172"/>
      <c r="I134" s="171" t="s">
        <v>594</v>
      </c>
      <c r="J134" s="172" t="s">
        <v>758</v>
      </c>
      <c r="K134" s="171" t="s">
        <v>669</v>
      </c>
      <c r="L134" s="172" t="s">
        <v>668</v>
      </c>
      <c r="M134" s="172" t="s">
        <v>45</v>
      </c>
      <c r="N134" s="172" t="s">
        <v>370</v>
      </c>
      <c r="O134" s="172" t="s">
        <v>551</v>
      </c>
      <c r="P134" s="173">
        <v>44273</v>
      </c>
      <c r="Q134" s="171"/>
      <c r="R134" s="171"/>
      <c r="S134" s="172"/>
      <c r="T134" s="171" t="s">
        <v>1206</v>
      </c>
      <c r="U134" s="171" t="s">
        <v>1208</v>
      </c>
      <c r="V134" s="171" t="s">
        <v>1221</v>
      </c>
      <c r="W134" s="172"/>
      <c r="X134" s="171" t="s">
        <v>1383</v>
      </c>
      <c r="Y134" s="171" t="s">
        <v>1168</v>
      </c>
      <c r="Z134" s="174" t="s">
        <v>1384</v>
      </c>
      <c r="AA134" s="200" t="s">
        <v>1184</v>
      </c>
      <c r="AB134" s="205"/>
      <c r="AC134" s="171" t="s">
        <v>1184</v>
      </c>
      <c r="AD134" s="174" t="s">
        <v>332</v>
      </c>
      <c r="AE134" s="174" t="s">
        <v>332</v>
      </c>
      <c r="AF134" s="174" t="s">
        <v>1549</v>
      </c>
      <c r="AG134" s="174"/>
      <c r="AH134" s="174"/>
      <c r="AI134" s="176" t="s">
        <v>1433</v>
      </c>
      <c r="AJ134" s="198"/>
      <c r="AK134" s="177" t="s">
        <v>248</v>
      </c>
      <c r="AL134" s="177"/>
      <c r="AM134" s="198"/>
      <c r="AN134" s="177" t="s">
        <v>963</v>
      </c>
      <c r="AO134" s="174"/>
      <c r="AP134" s="174"/>
      <c r="AQ134" s="174"/>
      <c r="AR134" s="174"/>
      <c r="AS134" s="174"/>
      <c r="AT134" s="174"/>
      <c r="AU134" s="174"/>
      <c r="AV134" s="174"/>
      <c r="AW134" s="176"/>
      <c r="AX134" s="37"/>
      <c r="AY134" s="37"/>
      <c r="AZ134" s="37"/>
      <c r="BA134" s="37"/>
      <c r="BB134" s="37"/>
      <c r="BC134" s="205"/>
      <c r="BD134" s="37"/>
      <c r="BE134" s="37"/>
      <c r="BF134" s="37"/>
    </row>
    <row r="135" spans="1:58" ht="39" customHeight="1" x14ac:dyDescent="0.2">
      <c r="A135" s="171" t="s">
        <v>1416</v>
      </c>
      <c r="B135" s="171" t="s">
        <v>601</v>
      </c>
      <c r="C135" s="171" t="s">
        <v>507</v>
      </c>
      <c r="D135" s="172" t="s">
        <v>39</v>
      </c>
      <c r="E135" s="171" t="s">
        <v>57</v>
      </c>
      <c r="F135" s="171"/>
      <c r="G135" s="172" t="s">
        <v>157</v>
      </c>
      <c r="H135" s="172">
        <v>67891</v>
      </c>
      <c r="I135" s="171" t="s">
        <v>594</v>
      </c>
      <c r="J135" s="172" t="s">
        <v>758</v>
      </c>
      <c r="K135" s="171" t="s">
        <v>569</v>
      </c>
      <c r="L135" s="172" t="s">
        <v>332</v>
      </c>
      <c r="M135" s="172" t="s">
        <v>44</v>
      </c>
      <c r="N135" s="172" t="s">
        <v>425</v>
      </c>
      <c r="O135" s="172" t="s">
        <v>551</v>
      </c>
      <c r="P135" s="173">
        <v>44273</v>
      </c>
      <c r="Q135" s="171"/>
      <c r="R135" s="171"/>
      <c r="S135" s="172"/>
      <c r="T135" s="171" t="s">
        <v>1206</v>
      </c>
      <c r="U135" s="171" t="s">
        <v>1208</v>
      </c>
      <c r="V135" s="171" t="s">
        <v>569</v>
      </c>
      <c r="W135" s="172"/>
      <c r="X135" s="171" t="s">
        <v>1383</v>
      </c>
      <c r="Y135" s="171" t="s">
        <v>1168</v>
      </c>
      <c r="Z135" s="174" t="s">
        <v>1384</v>
      </c>
      <c r="AA135" s="205" t="str">
        <f>AC135</f>
        <v>costCenterId</v>
      </c>
      <c r="AB135" s="205"/>
      <c r="AC135" s="171" t="str">
        <f>V135</f>
        <v>costCenterId</v>
      </c>
      <c r="AD135" s="174" t="s">
        <v>332</v>
      </c>
      <c r="AE135" s="174" t="s">
        <v>332</v>
      </c>
      <c r="AF135" s="174" t="s">
        <v>1549</v>
      </c>
      <c r="AG135" s="174"/>
      <c r="AH135" s="174"/>
      <c r="AI135" s="176" t="s">
        <v>963</v>
      </c>
      <c r="AJ135" s="198"/>
      <c r="AK135" s="177" t="s">
        <v>963</v>
      </c>
      <c r="AL135" s="177"/>
      <c r="AM135" s="198">
        <f>SUBTOTAL(9,H135:Y135)</f>
        <v>112164</v>
      </c>
      <c r="AN135" s="177" t="s">
        <v>963</v>
      </c>
      <c r="AO135" s="174"/>
      <c r="AP135" s="174"/>
      <c r="AQ135" s="174"/>
      <c r="AR135" s="174"/>
      <c r="AS135" s="174"/>
      <c r="AT135" s="174"/>
      <c r="AU135" s="174"/>
      <c r="AV135" s="174"/>
      <c r="AW135" s="176"/>
      <c r="AX135" s="37"/>
      <c r="AY135" s="37"/>
      <c r="AZ135" s="37"/>
      <c r="BA135" s="37"/>
      <c r="BB135" s="37"/>
      <c r="BC135" s="37"/>
      <c r="BD135" s="37"/>
      <c r="BE135" s="37"/>
      <c r="BF135" s="37"/>
    </row>
    <row r="136" spans="1:58" ht="38.25" customHeight="1" x14ac:dyDescent="0.2">
      <c r="A136" s="171" t="s">
        <v>1416</v>
      </c>
      <c r="B136" s="171" t="s">
        <v>601</v>
      </c>
      <c r="C136" s="171" t="s">
        <v>507</v>
      </c>
      <c r="D136" s="172" t="s">
        <v>39</v>
      </c>
      <c r="E136" s="171" t="s">
        <v>111</v>
      </c>
      <c r="F136" s="171"/>
      <c r="G136" s="171" t="s">
        <v>661</v>
      </c>
      <c r="H136" s="172"/>
      <c r="I136" s="171" t="s">
        <v>594</v>
      </c>
      <c r="J136" s="172" t="s">
        <v>758</v>
      </c>
      <c r="K136" s="172" t="s">
        <v>576</v>
      </c>
      <c r="L136" s="171" t="s">
        <v>332</v>
      </c>
      <c r="M136" s="172" t="s">
        <v>56</v>
      </c>
      <c r="N136" s="172" t="s">
        <v>589</v>
      </c>
      <c r="O136" s="172" t="s">
        <v>342</v>
      </c>
      <c r="P136" s="173">
        <v>44273</v>
      </c>
      <c r="Q136" s="171" t="s">
        <v>576</v>
      </c>
      <c r="R136" s="171" t="s">
        <v>576</v>
      </c>
      <c r="S136" s="172"/>
      <c r="T136" s="171" t="s">
        <v>1206</v>
      </c>
      <c r="U136" s="171" t="s">
        <v>1208</v>
      </c>
      <c r="V136" s="171" t="s">
        <v>1029</v>
      </c>
      <c r="W136" s="171"/>
      <c r="X136" s="171" t="s">
        <v>332</v>
      </c>
      <c r="Y136" s="171" t="s">
        <v>332</v>
      </c>
      <c r="Z136" s="174" t="s">
        <v>332</v>
      </c>
      <c r="AA136" s="205"/>
      <c r="AB136" s="205"/>
      <c r="AC136" s="171" t="s">
        <v>332</v>
      </c>
      <c r="AD136" s="174" t="s">
        <v>332</v>
      </c>
      <c r="AE136" s="174" t="s">
        <v>332</v>
      </c>
      <c r="AF136" s="174" t="s">
        <v>1479</v>
      </c>
      <c r="AG136" s="174"/>
      <c r="AH136" s="174"/>
      <c r="AI136" s="176" t="s">
        <v>963</v>
      </c>
      <c r="AJ136" s="198"/>
      <c r="AK136" s="177" t="s">
        <v>963</v>
      </c>
      <c r="AL136" s="177"/>
      <c r="AM136" s="198"/>
      <c r="AN136" s="177" t="s">
        <v>963</v>
      </c>
      <c r="AO136" s="174"/>
      <c r="AP136" s="174"/>
      <c r="AQ136" s="174"/>
      <c r="AR136" s="174"/>
      <c r="AS136" s="174"/>
      <c r="AT136" s="174"/>
      <c r="AU136" s="174"/>
      <c r="AV136" s="174"/>
      <c r="AW136" s="176"/>
      <c r="AX136" s="37"/>
      <c r="AY136" s="37"/>
      <c r="AZ136" s="37"/>
      <c r="BA136" s="37"/>
      <c r="BB136" s="37"/>
      <c r="BC136" s="205"/>
      <c r="BD136" s="37"/>
      <c r="BE136" s="37"/>
      <c r="BF136" s="37"/>
    </row>
    <row r="137" spans="1:58" s="140" customFormat="1" ht="25.5" x14ac:dyDescent="0.2">
      <c r="A137" s="171" t="s">
        <v>1416</v>
      </c>
      <c r="B137" s="171" t="s">
        <v>652</v>
      </c>
      <c r="C137" s="171" t="s">
        <v>507</v>
      </c>
      <c r="D137" s="172" t="s">
        <v>909</v>
      </c>
      <c r="E137" s="172" t="s">
        <v>248</v>
      </c>
      <c r="F137" s="172" t="s">
        <v>913</v>
      </c>
      <c r="G137" s="172"/>
      <c r="H137" s="172"/>
      <c r="I137" s="172" t="s">
        <v>626</v>
      </c>
      <c r="J137" s="172" t="s">
        <v>670</v>
      </c>
      <c r="K137" s="172" t="s">
        <v>669</v>
      </c>
      <c r="L137" s="171" t="s">
        <v>668</v>
      </c>
      <c r="M137" s="171" t="s">
        <v>45</v>
      </c>
      <c r="N137" s="172" t="s">
        <v>369</v>
      </c>
      <c r="O137" s="172" t="s">
        <v>342</v>
      </c>
      <c r="P137" s="173">
        <v>44293</v>
      </c>
      <c r="Q137" s="171"/>
      <c r="R137" s="171"/>
      <c r="S137" s="172" t="s">
        <v>36</v>
      </c>
      <c r="T137" s="174"/>
      <c r="U137" s="174"/>
      <c r="V137" s="171"/>
      <c r="W137" s="171"/>
      <c r="X137" s="171"/>
      <c r="Y137" s="171"/>
      <c r="Z137" s="174"/>
      <c r="AA137" s="205"/>
      <c r="AB137" s="205"/>
      <c r="AC137" s="171"/>
      <c r="AD137" s="174" t="s">
        <v>332</v>
      </c>
      <c r="AE137" s="174" t="s">
        <v>332</v>
      </c>
      <c r="AF137" s="174" t="s">
        <v>1479</v>
      </c>
      <c r="AG137" s="174"/>
      <c r="AH137" s="174"/>
      <c r="AI137" s="176" t="s">
        <v>963</v>
      </c>
      <c r="AJ137" s="198"/>
      <c r="AK137" s="177" t="s">
        <v>668</v>
      </c>
      <c r="AL137" s="198"/>
      <c r="AM137" s="198"/>
      <c r="AN137" s="177" t="s">
        <v>963</v>
      </c>
      <c r="AO137" s="174"/>
      <c r="AP137" s="174"/>
      <c r="AQ137" s="174"/>
      <c r="AR137" s="174"/>
      <c r="AS137" s="174"/>
      <c r="AT137" s="174"/>
      <c r="AU137" s="174"/>
      <c r="AV137" s="174"/>
      <c r="AW137" s="176"/>
      <c r="AX137" s="37"/>
      <c r="AY137" s="37"/>
      <c r="AZ137" s="37"/>
      <c r="BA137" s="37"/>
      <c r="BB137" s="37"/>
      <c r="BC137" s="205"/>
      <c r="BD137" s="37"/>
      <c r="BE137" s="37"/>
      <c r="BF137" s="37"/>
    </row>
    <row r="138" spans="1:58" s="140" customFormat="1" x14ac:dyDescent="0.2">
      <c r="A138" s="171" t="s">
        <v>1416</v>
      </c>
      <c r="B138" s="171" t="s">
        <v>908</v>
      </c>
      <c r="C138" s="171" t="s">
        <v>507</v>
      </c>
      <c r="D138" s="171" t="s">
        <v>748</v>
      </c>
      <c r="E138" s="171" t="s">
        <v>872</v>
      </c>
      <c r="F138" s="171" t="s">
        <v>929</v>
      </c>
      <c r="G138" s="171" t="s">
        <v>342</v>
      </c>
      <c r="H138" s="171" t="s">
        <v>874</v>
      </c>
      <c r="I138" s="172" t="s">
        <v>651</v>
      </c>
      <c r="J138" s="172" t="s">
        <v>890</v>
      </c>
      <c r="K138" s="172" t="s">
        <v>787</v>
      </c>
      <c r="L138" s="171" t="s">
        <v>878</v>
      </c>
      <c r="M138" s="171"/>
      <c r="N138" s="172" t="s">
        <v>899</v>
      </c>
      <c r="O138" s="172" t="s">
        <v>342</v>
      </c>
      <c r="P138" s="173">
        <v>44312</v>
      </c>
      <c r="Q138" s="171"/>
      <c r="R138" s="171"/>
      <c r="S138" s="171"/>
      <c r="T138" s="171"/>
      <c r="U138" s="171"/>
      <c r="V138" s="171"/>
      <c r="W138" s="171"/>
      <c r="X138" s="171"/>
      <c r="Y138" s="171"/>
      <c r="Z138" s="174"/>
      <c r="AA138" s="205"/>
      <c r="AB138" s="205"/>
      <c r="AC138" s="171"/>
      <c r="AD138" s="174" t="s">
        <v>332</v>
      </c>
      <c r="AE138" s="174" t="s">
        <v>332</v>
      </c>
      <c r="AF138" s="174" t="s">
        <v>1479</v>
      </c>
      <c r="AG138" s="174"/>
      <c r="AH138" s="174"/>
      <c r="AI138" s="176" t="s">
        <v>963</v>
      </c>
      <c r="AJ138" s="198"/>
      <c r="AK138" s="177" t="s">
        <v>878</v>
      </c>
      <c r="AL138" s="198"/>
      <c r="AM138" s="198"/>
      <c r="AN138" s="177" t="s">
        <v>963</v>
      </c>
      <c r="AO138" s="174"/>
      <c r="AP138" s="174"/>
      <c r="AQ138" s="174"/>
      <c r="AR138" s="174"/>
      <c r="AS138" s="174"/>
      <c r="AT138" s="174"/>
      <c r="AU138" s="174"/>
      <c r="AV138" s="174"/>
      <c r="AW138" s="176"/>
      <c r="AX138" s="37"/>
      <c r="AY138" s="37"/>
      <c r="AZ138" s="37"/>
      <c r="BA138" s="37"/>
      <c r="BB138" s="37"/>
      <c r="BC138" s="205"/>
      <c r="BD138" s="37"/>
      <c r="BE138" s="37"/>
      <c r="BF138" s="37"/>
    </row>
    <row r="139" spans="1:58" s="140" customFormat="1" ht="25.5" customHeight="1" x14ac:dyDescent="0.2">
      <c r="A139" s="171" t="s">
        <v>1416</v>
      </c>
      <c r="B139" s="171" t="s">
        <v>908</v>
      </c>
      <c r="C139" s="171" t="s">
        <v>507</v>
      </c>
      <c r="D139" s="171" t="s">
        <v>748</v>
      </c>
      <c r="E139" s="171" t="s">
        <v>871</v>
      </c>
      <c r="F139" s="171" t="s">
        <v>929</v>
      </c>
      <c r="G139" s="171"/>
      <c r="H139" s="171" t="s">
        <v>873</v>
      </c>
      <c r="I139" s="172" t="s">
        <v>651</v>
      </c>
      <c r="J139" s="172" t="s">
        <v>890</v>
      </c>
      <c r="K139" s="172" t="s">
        <v>785</v>
      </c>
      <c r="L139" s="171" t="s">
        <v>877</v>
      </c>
      <c r="M139" s="171"/>
      <c r="N139" s="172" t="s">
        <v>900</v>
      </c>
      <c r="O139" s="172" t="s">
        <v>342</v>
      </c>
      <c r="P139" s="173">
        <v>44312</v>
      </c>
      <c r="Q139" s="171"/>
      <c r="R139" s="171"/>
      <c r="S139" s="171"/>
      <c r="T139" s="171"/>
      <c r="U139" s="171"/>
      <c r="V139" s="171"/>
      <c r="W139" s="171"/>
      <c r="X139" s="171"/>
      <c r="Y139" s="171"/>
      <c r="Z139" s="174"/>
      <c r="AA139" s="205"/>
      <c r="AB139" s="205"/>
      <c r="AC139" s="171"/>
      <c r="AD139" s="174" t="s">
        <v>332</v>
      </c>
      <c r="AE139" s="174" t="s">
        <v>332</v>
      </c>
      <c r="AF139" s="174" t="s">
        <v>1479</v>
      </c>
      <c r="AG139" s="174"/>
      <c r="AH139" s="174"/>
      <c r="AI139" s="176" t="s">
        <v>963</v>
      </c>
      <c r="AJ139" s="198"/>
      <c r="AK139" s="177" t="s">
        <v>877</v>
      </c>
      <c r="AL139" s="198"/>
      <c r="AM139" s="198"/>
      <c r="AN139" s="177" t="s">
        <v>963</v>
      </c>
      <c r="AO139" s="174"/>
      <c r="AP139" s="174"/>
      <c r="AQ139" s="174"/>
      <c r="AR139" s="174"/>
      <c r="AS139" s="174"/>
      <c r="AT139" s="174"/>
      <c r="AU139" s="174"/>
      <c r="AV139" s="174"/>
      <c r="AW139" s="176"/>
      <c r="AX139" s="37"/>
      <c r="AY139" s="37"/>
      <c r="AZ139" s="37"/>
      <c r="BA139" s="37"/>
      <c r="BB139" s="37"/>
      <c r="BC139" s="37"/>
      <c r="BD139" s="37"/>
      <c r="BE139" s="37"/>
      <c r="BF139" s="37"/>
    </row>
    <row r="140" spans="1:58" s="140" customFormat="1" ht="25.5" customHeight="1" x14ac:dyDescent="0.2">
      <c r="A140" s="171" t="s">
        <v>1416</v>
      </c>
      <c r="B140" s="171" t="s">
        <v>908</v>
      </c>
      <c r="C140" s="171" t="s">
        <v>507</v>
      </c>
      <c r="D140" s="171" t="s">
        <v>748</v>
      </c>
      <c r="E140" s="171" t="s">
        <v>876</v>
      </c>
      <c r="F140" s="171" t="s">
        <v>929</v>
      </c>
      <c r="G140" s="171"/>
      <c r="H140" s="171">
        <v>123456</v>
      </c>
      <c r="I140" s="172" t="s">
        <v>651</v>
      </c>
      <c r="J140" s="172" t="s">
        <v>890</v>
      </c>
      <c r="K140" s="171" t="s">
        <v>564</v>
      </c>
      <c r="L140" s="172" t="s">
        <v>565</v>
      </c>
      <c r="M140" s="171"/>
      <c r="N140" s="172" t="s">
        <v>897</v>
      </c>
      <c r="O140" s="172" t="s">
        <v>342</v>
      </c>
      <c r="P140" s="173">
        <v>44312</v>
      </c>
      <c r="Q140" s="171"/>
      <c r="R140" s="171"/>
      <c r="S140" s="171"/>
      <c r="T140" s="171"/>
      <c r="U140" s="171"/>
      <c r="V140" s="171"/>
      <c r="W140" s="171"/>
      <c r="X140" s="172"/>
      <c r="Y140" s="171"/>
      <c r="Z140" s="174"/>
      <c r="AA140" s="205"/>
      <c r="AB140" s="205"/>
      <c r="AC140" s="171"/>
      <c r="AD140" s="174" t="s">
        <v>332</v>
      </c>
      <c r="AE140" s="174" t="s">
        <v>332</v>
      </c>
      <c r="AF140" s="174" t="s">
        <v>1479</v>
      </c>
      <c r="AG140" s="174"/>
      <c r="AH140" s="174"/>
      <c r="AI140" s="176" t="s">
        <v>963</v>
      </c>
      <c r="AJ140" s="198"/>
      <c r="AK140" s="177" t="s">
        <v>565</v>
      </c>
      <c r="AL140" s="198"/>
      <c r="AM140" s="198">
        <f>SUBTOTAL(9,H140:Y140)</f>
        <v>167768</v>
      </c>
      <c r="AN140" s="177" t="s">
        <v>963</v>
      </c>
      <c r="AO140" s="174"/>
      <c r="AP140" s="174"/>
      <c r="AQ140" s="174"/>
      <c r="AR140" s="174"/>
      <c r="AS140" s="174"/>
      <c r="AT140" s="174"/>
      <c r="AU140" s="174"/>
      <c r="AV140" s="174"/>
      <c r="AW140" s="176"/>
      <c r="AX140" s="37"/>
      <c r="AY140" s="37"/>
      <c r="AZ140" s="37"/>
      <c r="BA140" s="37"/>
      <c r="BB140" s="37"/>
      <c r="BC140" s="205"/>
      <c r="BD140" s="37"/>
      <c r="BE140" s="37"/>
      <c r="BF140" s="37"/>
    </row>
    <row r="141" spans="1:58" ht="73.5" customHeight="1" x14ac:dyDescent="0.2">
      <c r="A141" s="171" t="s">
        <v>1416</v>
      </c>
      <c r="B141" s="171" t="s">
        <v>908</v>
      </c>
      <c r="C141" s="171" t="s">
        <v>507</v>
      </c>
      <c r="D141" s="171" t="s">
        <v>748</v>
      </c>
      <c r="E141" s="171" t="s">
        <v>875</v>
      </c>
      <c r="F141" s="171" t="s">
        <v>930</v>
      </c>
      <c r="G141" s="171"/>
      <c r="H141" s="171"/>
      <c r="I141" s="172" t="s">
        <v>651</v>
      </c>
      <c r="J141" s="172" t="s">
        <v>890</v>
      </c>
      <c r="K141" s="172" t="s">
        <v>669</v>
      </c>
      <c r="L141" s="171" t="s">
        <v>248</v>
      </c>
      <c r="M141" s="171"/>
      <c r="N141" s="172" t="s">
        <v>898</v>
      </c>
      <c r="O141" s="172" t="s">
        <v>342</v>
      </c>
      <c r="P141" s="173">
        <v>44312</v>
      </c>
      <c r="Q141" s="171"/>
      <c r="R141" s="171"/>
      <c r="S141" s="171"/>
      <c r="T141" s="171"/>
      <c r="U141" s="171"/>
      <c r="V141" s="171"/>
      <c r="W141" s="171"/>
      <c r="X141" s="171"/>
      <c r="Y141" s="171"/>
      <c r="Z141" s="174"/>
      <c r="AA141" s="205"/>
      <c r="AB141" s="205"/>
      <c r="AC141" s="171"/>
      <c r="AD141" s="174" t="s">
        <v>332</v>
      </c>
      <c r="AE141" s="174" t="s">
        <v>332</v>
      </c>
      <c r="AF141" s="174" t="s">
        <v>1479</v>
      </c>
      <c r="AG141" s="174"/>
      <c r="AH141" s="174"/>
      <c r="AI141" s="176" t="s">
        <v>963</v>
      </c>
      <c r="AJ141" s="198"/>
      <c r="AK141" s="177" t="s">
        <v>248</v>
      </c>
      <c r="AL141" s="198"/>
      <c r="AM141" s="198"/>
      <c r="AN141" s="177" t="s">
        <v>963</v>
      </c>
      <c r="AO141" s="174"/>
      <c r="AP141" s="174"/>
      <c r="AQ141" s="174"/>
      <c r="AR141" s="174"/>
      <c r="AS141" s="174"/>
      <c r="AT141" s="174"/>
      <c r="AU141" s="174"/>
      <c r="AV141" s="174"/>
      <c r="AW141" s="176"/>
      <c r="AX141" s="37"/>
      <c r="AY141" s="37"/>
      <c r="AZ141" s="37"/>
      <c r="BA141" s="37"/>
      <c r="BB141" s="37"/>
      <c r="BC141" s="37"/>
      <c r="BD141" s="37"/>
      <c r="BE141" s="37"/>
      <c r="BF141" s="37"/>
    </row>
    <row r="142" spans="1:58" ht="12.75" customHeight="1" x14ac:dyDescent="0.2">
      <c r="A142" s="171"/>
      <c r="B142" s="171"/>
      <c r="C142" s="171"/>
      <c r="D142" s="171"/>
      <c r="E142" s="171"/>
      <c r="F142" s="171"/>
      <c r="G142" s="171"/>
      <c r="H142" s="171"/>
      <c r="I142" s="171"/>
      <c r="J142" s="171"/>
      <c r="K142" s="171"/>
      <c r="L142" s="171"/>
      <c r="M142" s="171"/>
      <c r="N142" s="171"/>
      <c r="O142" s="171"/>
      <c r="P142" s="171"/>
      <c r="Q142" s="171" t="s">
        <v>332</v>
      </c>
      <c r="R142" s="210" t="s">
        <v>567</v>
      </c>
      <c r="S142" s="171"/>
      <c r="T142" s="171" t="s">
        <v>1206</v>
      </c>
      <c r="U142" s="171" t="s">
        <v>995</v>
      </c>
      <c r="V142" s="171" t="s">
        <v>983</v>
      </c>
      <c r="W142" s="171" t="s">
        <v>983</v>
      </c>
      <c r="X142" s="171"/>
      <c r="Y142" s="171"/>
      <c r="Z142" s="174"/>
      <c r="AA142" s="205">
        <f>AC142</f>
        <v>0</v>
      </c>
      <c r="AB142" s="175"/>
      <c r="AC142" s="171"/>
      <c r="AD142" s="174" t="s">
        <v>332</v>
      </c>
      <c r="AE142" s="174" t="s">
        <v>332</v>
      </c>
      <c r="AF142" s="174" t="s">
        <v>1549</v>
      </c>
      <c r="AG142" s="174"/>
      <c r="AH142" s="174"/>
      <c r="AI142" s="183" t="s">
        <v>963</v>
      </c>
      <c r="AJ142" s="177"/>
      <c r="AK142" s="177" t="s">
        <v>963</v>
      </c>
      <c r="AL142" s="177"/>
      <c r="AM142" s="177"/>
      <c r="AN142" s="177" t="s">
        <v>963</v>
      </c>
      <c r="AO142" s="174"/>
      <c r="AP142" s="174"/>
      <c r="AQ142" s="174"/>
      <c r="AR142" s="174"/>
      <c r="AS142" s="174"/>
      <c r="AT142" s="174"/>
      <c r="AU142" s="174"/>
      <c r="AV142" s="174"/>
      <c r="AW142" s="176"/>
      <c r="AX142" s="151" t="s">
        <v>1632</v>
      </c>
      <c r="AY142" s="151" t="s">
        <v>1168</v>
      </c>
      <c r="AZ142" s="151" t="s">
        <v>1012</v>
      </c>
      <c r="BA142" s="151"/>
      <c r="BB142" s="151" t="s">
        <v>1150</v>
      </c>
      <c r="BC142" s="129" t="s">
        <v>1635</v>
      </c>
      <c r="BD142" s="140"/>
      <c r="BE142" s="140"/>
      <c r="BF142" s="140"/>
    </row>
    <row r="143" spans="1:58" s="140" customFormat="1" ht="24.75" customHeight="1" x14ac:dyDescent="0.2">
      <c r="A143" s="171"/>
      <c r="B143" s="171"/>
      <c r="C143" s="171"/>
      <c r="D143" s="171"/>
      <c r="E143" s="171"/>
      <c r="F143" s="171"/>
      <c r="G143" s="171"/>
      <c r="H143" s="171"/>
      <c r="I143" s="171"/>
      <c r="J143" s="171"/>
      <c r="K143" s="171"/>
      <c r="L143" s="171"/>
      <c r="M143" s="171"/>
      <c r="N143" s="171"/>
      <c r="O143" s="171"/>
      <c r="P143" s="171"/>
      <c r="Q143" s="171" t="s">
        <v>332</v>
      </c>
      <c r="R143" s="210" t="s">
        <v>996</v>
      </c>
      <c r="S143" s="171"/>
      <c r="T143" s="171" t="s">
        <v>1206</v>
      </c>
      <c r="U143" s="171" t="s">
        <v>995</v>
      </c>
      <c r="V143" s="171" t="s">
        <v>997</v>
      </c>
      <c r="W143" s="171" t="s">
        <v>997</v>
      </c>
      <c r="X143" s="171"/>
      <c r="Y143" s="171"/>
      <c r="Z143" s="174"/>
      <c r="AA143" s="205">
        <f>AC143</f>
        <v>0</v>
      </c>
      <c r="AB143" s="175"/>
      <c r="AC143" s="171"/>
      <c r="AD143" s="174" t="s">
        <v>332</v>
      </c>
      <c r="AE143" s="174" t="s">
        <v>332</v>
      </c>
      <c r="AF143" s="174" t="s">
        <v>1549</v>
      </c>
      <c r="AG143" s="174"/>
      <c r="AH143" s="174"/>
      <c r="AI143" s="183" t="s">
        <v>963</v>
      </c>
      <c r="AJ143" s="177"/>
      <c r="AK143" s="177" t="s">
        <v>963</v>
      </c>
      <c r="AL143" s="177"/>
      <c r="AM143" s="177"/>
      <c r="AN143" s="177" t="s">
        <v>963</v>
      </c>
      <c r="AO143" s="174"/>
      <c r="AP143" s="174"/>
      <c r="AQ143" s="174"/>
      <c r="AR143" s="174"/>
      <c r="AS143" s="174"/>
      <c r="AT143" s="174"/>
      <c r="AU143" s="174"/>
      <c r="AV143" s="174"/>
      <c r="AW143" s="176"/>
      <c r="AX143" s="151" t="s">
        <v>1632</v>
      </c>
      <c r="AY143" s="151" t="s">
        <v>1168</v>
      </c>
      <c r="AZ143" s="151" t="s">
        <v>1012</v>
      </c>
      <c r="BA143" s="151" t="s">
        <v>1494</v>
      </c>
      <c r="BB143" s="151" t="s">
        <v>1150</v>
      </c>
      <c r="BC143" s="174" t="s">
        <v>1494</v>
      </c>
    </row>
    <row r="144" spans="1:58" s="140" customFormat="1" ht="43.5" customHeight="1" x14ac:dyDescent="0.2">
      <c r="A144" s="171"/>
      <c r="B144" s="171"/>
      <c r="C144" s="171"/>
      <c r="D144" s="171"/>
      <c r="E144" s="171"/>
      <c r="F144" s="171"/>
      <c r="G144" s="171"/>
      <c r="H144" s="171"/>
      <c r="I144" s="171"/>
      <c r="J144" s="171"/>
      <c r="K144" s="171"/>
      <c r="L144" s="171"/>
      <c r="M144" s="171"/>
      <c r="N144" s="171"/>
      <c r="O144" s="171"/>
      <c r="P144" s="171"/>
      <c r="Q144" s="171" t="s">
        <v>332</v>
      </c>
      <c r="R144" s="210" t="s">
        <v>945</v>
      </c>
      <c r="S144" s="171"/>
      <c r="T144" s="171" t="s">
        <v>1206</v>
      </c>
      <c r="U144" s="171" t="s">
        <v>995</v>
      </c>
      <c r="V144" s="171" t="s">
        <v>998</v>
      </c>
      <c r="W144" s="171" t="s">
        <v>998</v>
      </c>
      <c r="X144" s="171"/>
      <c r="Y144" s="171"/>
      <c r="Z144" s="174"/>
      <c r="AA144" s="205">
        <f>AC144</f>
        <v>0</v>
      </c>
      <c r="AB144" s="175"/>
      <c r="AC144" s="171"/>
      <c r="AD144" s="174" t="s">
        <v>332</v>
      </c>
      <c r="AE144" s="174" t="s">
        <v>332</v>
      </c>
      <c r="AF144" s="174" t="s">
        <v>1549</v>
      </c>
      <c r="AG144" s="174"/>
      <c r="AH144" s="174"/>
      <c r="AI144" s="183" t="s">
        <v>999</v>
      </c>
      <c r="AJ144" s="177"/>
      <c r="AK144" s="177" t="s">
        <v>963</v>
      </c>
      <c r="AL144" s="177"/>
      <c r="AM144" s="177"/>
      <c r="AN144" s="177" t="s">
        <v>999</v>
      </c>
      <c r="AO144" s="174"/>
      <c r="AP144" s="174"/>
      <c r="AQ144" s="174"/>
      <c r="AR144" s="174"/>
      <c r="AS144" s="174"/>
      <c r="AT144" s="174"/>
      <c r="AU144" s="174"/>
      <c r="AV144" s="174"/>
      <c r="AW144" s="176"/>
      <c r="BC144" s="175"/>
    </row>
    <row r="145" spans="1:58" s="140" customFormat="1" ht="107.1" customHeight="1" x14ac:dyDescent="0.2">
      <c r="A145" s="174"/>
      <c r="B145" s="174"/>
      <c r="C145" s="174"/>
      <c r="D145" s="174"/>
      <c r="E145" s="174"/>
      <c r="F145" s="174"/>
      <c r="G145" s="174"/>
      <c r="H145" s="174"/>
      <c r="I145" s="174"/>
      <c r="J145" s="172" t="s">
        <v>650</v>
      </c>
      <c r="K145" s="171"/>
      <c r="L145" s="171"/>
      <c r="M145" s="174"/>
      <c r="N145" s="174"/>
      <c r="O145" s="174"/>
      <c r="P145" s="171"/>
      <c r="Q145" s="171"/>
      <c r="R145" s="171"/>
      <c r="S145" s="171"/>
      <c r="T145" s="171" t="s">
        <v>1206</v>
      </c>
      <c r="U145" s="171" t="s">
        <v>1212</v>
      </c>
      <c r="V145" s="171" t="s">
        <v>568</v>
      </c>
      <c r="W145" s="183"/>
      <c r="X145" s="171" t="s">
        <v>1383</v>
      </c>
      <c r="Y145" s="174" t="s">
        <v>1038</v>
      </c>
      <c r="Z145" s="174" t="s">
        <v>1391</v>
      </c>
      <c r="AA145" s="205" t="str">
        <f>AC145</f>
        <v>serviceDeliveryKey</v>
      </c>
      <c r="AB145" s="205"/>
      <c r="AC145" s="171" t="s">
        <v>568</v>
      </c>
      <c r="AD145" s="174" t="s">
        <v>332</v>
      </c>
      <c r="AE145" s="174" t="s">
        <v>332</v>
      </c>
      <c r="AF145" s="174" t="s">
        <v>1549</v>
      </c>
      <c r="AG145" s="174"/>
      <c r="AH145" s="174"/>
      <c r="AI145" s="183" t="s">
        <v>963</v>
      </c>
      <c r="AJ145" s="198"/>
      <c r="AK145" s="177" t="s">
        <v>963</v>
      </c>
      <c r="AL145" s="177"/>
      <c r="AM145" s="198"/>
      <c r="AN145" s="177" t="s">
        <v>963</v>
      </c>
      <c r="AO145" s="174" t="s">
        <v>1391</v>
      </c>
      <c r="AP145" s="171" t="s">
        <v>568</v>
      </c>
      <c r="AQ145" s="174" t="s">
        <v>1428</v>
      </c>
      <c r="AR145" s="174"/>
      <c r="AS145" s="174"/>
      <c r="AT145" s="174"/>
      <c r="AU145" s="174"/>
      <c r="AV145" s="174"/>
      <c r="AW145" s="176" t="s">
        <v>1431</v>
      </c>
      <c r="AX145" s="130"/>
      <c r="AY145" s="130"/>
      <c r="AZ145" s="130"/>
      <c r="BA145" s="130"/>
      <c r="BB145" s="130"/>
      <c r="BC145" s="130"/>
      <c r="BD145" s="130"/>
      <c r="BE145" s="130"/>
      <c r="BF145" s="130"/>
    </row>
    <row r="146" spans="1:58" s="140" customFormat="1" ht="38.25" customHeight="1" x14ac:dyDescent="0.2">
      <c r="A146" s="174"/>
      <c r="B146" s="174"/>
      <c r="C146" s="174"/>
      <c r="D146" s="174"/>
      <c r="E146" s="174"/>
      <c r="F146" s="174"/>
      <c r="G146" s="174"/>
      <c r="H146" s="174"/>
      <c r="I146" s="174"/>
      <c r="J146" s="174"/>
      <c r="K146" s="174"/>
      <c r="L146" s="174"/>
      <c r="M146" s="174"/>
      <c r="N146" s="174"/>
      <c r="O146" s="174"/>
      <c r="P146" s="174"/>
      <c r="Q146" s="174"/>
      <c r="R146" s="174"/>
      <c r="S146" s="174"/>
      <c r="T146" s="171" t="s">
        <v>1206</v>
      </c>
      <c r="U146" s="171" t="s">
        <v>1207</v>
      </c>
      <c r="V146" s="171" t="s">
        <v>1224</v>
      </c>
      <c r="W146" s="183" t="s">
        <v>1225</v>
      </c>
      <c r="X146" s="171" t="s">
        <v>1383</v>
      </c>
      <c r="Y146" s="174"/>
      <c r="Z146" s="174"/>
      <c r="AA146" s="205"/>
      <c r="AB146" s="205"/>
      <c r="AC146" s="171"/>
      <c r="AD146" s="174" t="s">
        <v>332</v>
      </c>
      <c r="AE146" s="174" t="s">
        <v>332</v>
      </c>
      <c r="AF146" s="174" t="s">
        <v>1549</v>
      </c>
      <c r="AG146" s="174"/>
      <c r="AH146" s="174"/>
      <c r="AI146" s="183"/>
      <c r="AJ146" s="198"/>
      <c r="AK146" s="198"/>
      <c r="AL146" s="177"/>
      <c r="AM146" s="198"/>
      <c r="AN146" s="198"/>
      <c r="AO146" s="174"/>
      <c r="AP146" s="174"/>
      <c r="AQ146" s="174"/>
      <c r="AR146" s="174"/>
      <c r="AS146" s="174"/>
      <c r="AT146" s="174"/>
      <c r="AU146" s="174"/>
      <c r="AV146" s="174"/>
      <c r="AW146" s="176"/>
      <c r="AX146" s="37"/>
      <c r="AY146" s="37"/>
      <c r="AZ146" s="37"/>
      <c r="BA146" s="37"/>
      <c r="BB146" s="37"/>
      <c r="BC146" s="37"/>
      <c r="BD146" s="37"/>
      <c r="BE146" s="37"/>
      <c r="BF146" s="37"/>
    </row>
    <row r="147" spans="1:58" s="140" customFormat="1" x14ac:dyDescent="0.2">
      <c r="A147" s="174"/>
      <c r="B147" s="174"/>
      <c r="C147" s="174"/>
      <c r="D147" s="174"/>
      <c r="E147" s="174"/>
      <c r="F147" s="174"/>
      <c r="G147" s="174"/>
      <c r="H147" s="174"/>
      <c r="I147" s="174"/>
      <c r="J147" s="174"/>
      <c r="K147" s="174"/>
      <c r="L147" s="174"/>
      <c r="M147" s="174"/>
      <c r="N147" s="174"/>
      <c r="O147" s="174"/>
      <c r="P147" s="174"/>
      <c r="Q147" s="174"/>
      <c r="R147" s="174"/>
      <c r="S147" s="174"/>
      <c r="T147" s="171" t="s">
        <v>1206</v>
      </c>
      <c r="U147" s="171" t="s">
        <v>1222</v>
      </c>
      <c r="V147" s="171" t="s">
        <v>1224</v>
      </c>
      <c r="W147" s="183" t="s">
        <v>1225</v>
      </c>
      <c r="X147" s="171" t="s">
        <v>1383</v>
      </c>
      <c r="Y147" s="174"/>
      <c r="Z147" s="174"/>
      <c r="AA147" s="205"/>
      <c r="AB147" s="205"/>
      <c r="AC147" s="171"/>
      <c r="AD147" s="174" t="s">
        <v>332</v>
      </c>
      <c r="AE147" s="174" t="s">
        <v>332</v>
      </c>
      <c r="AF147" s="174" t="s">
        <v>1549</v>
      </c>
      <c r="AG147" s="174"/>
      <c r="AH147" s="174"/>
      <c r="AI147" s="183"/>
      <c r="AJ147" s="198"/>
      <c r="AK147" s="198"/>
      <c r="AL147" s="177"/>
      <c r="AM147" s="198"/>
      <c r="AN147" s="198"/>
      <c r="AO147" s="174"/>
      <c r="AP147" s="174"/>
      <c r="AQ147" s="174"/>
      <c r="AR147" s="174"/>
      <c r="AS147" s="174"/>
      <c r="AT147" s="174"/>
      <c r="AU147" s="174"/>
      <c r="AV147" s="174"/>
      <c r="AW147" s="176"/>
      <c r="AX147" s="37"/>
      <c r="AY147" s="37"/>
      <c r="AZ147" s="37"/>
      <c r="BA147" s="37"/>
      <c r="BB147" s="37"/>
      <c r="BC147" s="37"/>
      <c r="BD147" s="37"/>
      <c r="BE147" s="37"/>
      <c r="BF147" s="37"/>
    </row>
    <row r="148" spans="1:58" s="140" customFormat="1" x14ac:dyDescent="0.2">
      <c r="A148" s="174"/>
      <c r="B148" s="174"/>
      <c r="C148" s="174"/>
      <c r="D148" s="174"/>
      <c r="E148" s="174"/>
      <c r="F148" s="174"/>
      <c r="G148" s="174"/>
      <c r="H148" s="174"/>
      <c r="I148" s="174"/>
      <c r="J148" s="174"/>
      <c r="K148" s="174"/>
      <c r="L148" s="174"/>
      <c r="M148" s="174"/>
      <c r="N148" s="174"/>
      <c r="O148" s="174"/>
      <c r="P148" s="174"/>
      <c r="Q148" s="174"/>
      <c r="R148" s="174"/>
      <c r="S148" s="174"/>
      <c r="T148" s="171" t="s">
        <v>1206</v>
      </c>
      <c r="U148" s="171" t="s">
        <v>1222</v>
      </c>
      <c r="V148" s="171" t="s">
        <v>1226</v>
      </c>
      <c r="W148" s="183" t="s">
        <v>905</v>
      </c>
      <c r="X148" s="171" t="s">
        <v>1383</v>
      </c>
      <c r="Y148" s="174"/>
      <c r="Z148" s="174"/>
      <c r="AA148" s="205"/>
      <c r="AB148" s="205"/>
      <c r="AC148" s="171"/>
      <c r="AD148" s="174" t="s">
        <v>332</v>
      </c>
      <c r="AE148" s="174" t="s">
        <v>332</v>
      </c>
      <c r="AF148" s="174" t="s">
        <v>1549</v>
      </c>
      <c r="AG148" s="174"/>
      <c r="AH148" s="174"/>
      <c r="AI148" s="183"/>
      <c r="AJ148" s="198"/>
      <c r="AK148" s="198"/>
      <c r="AL148" s="177"/>
      <c r="AM148" s="198"/>
      <c r="AN148" s="198"/>
      <c r="AO148" s="174"/>
      <c r="AP148" s="174"/>
      <c r="AQ148" s="174"/>
      <c r="AR148" s="174"/>
      <c r="AS148" s="174"/>
      <c r="AT148" s="174"/>
      <c r="AU148" s="174"/>
      <c r="AV148" s="174"/>
      <c r="AW148" s="176"/>
      <c r="AX148" s="37"/>
      <c r="AY148" s="37"/>
      <c r="AZ148" s="37"/>
      <c r="BA148" s="37"/>
      <c r="BB148" s="37"/>
      <c r="BC148" s="37"/>
      <c r="BD148" s="37"/>
      <c r="BE148" s="37"/>
      <c r="BF148" s="37"/>
    </row>
    <row r="149" spans="1:58" s="140" customFormat="1" ht="12.75" customHeight="1" x14ac:dyDescent="0.2">
      <c r="A149" s="174"/>
      <c r="B149" s="174"/>
      <c r="C149" s="174"/>
      <c r="D149" s="174"/>
      <c r="E149" s="174"/>
      <c r="F149" s="174"/>
      <c r="G149" s="174"/>
      <c r="H149" s="174"/>
      <c r="I149" s="174"/>
      <c r="J149" s="174"/>
      <c r="K149" s="174"/>
      <c r="L149" s="174"/>
      <c r="M149" s="174"/>
      <c r="N149" s="174"/>
      <c r="O149" s="174"/>
      <c r="P149" s="174"/>
      <c r="Q149" s="174"/>
      <c r="R149" s="174"/>
      <c r="S149" s="174"/>
      <c r="T149" s="171" t="s">
        <v>1206</v>
      </c>
      <c r="U149" s="171" t="s">
        <v>1208</v>
      </c>
      <c r="V149" s="171" t="s">
        <v>1224</v>
      </c>
      <c r="W149" s="183" t="s">
        <v>1225</v>
      </c>
      <c r="X149" s="171" t="s">
        <v>1383</v>
      </c>
      <c r="Y149" s="174"/>
      <c r="Z149" s="174"/>
      <c r="AA149" s="205"/>
      <c r="AB149" s="205"/>
      <c r="AC149" s="171"/>
      <c r="AD149" s="174" t="s">
        <v>332</v>
      </c>
      <c r="AE149" s="174" t="s">
        <v>332</v>
      </c>
      <c r="AF149" s="174" t="s">
        <v>1549</v>
      </c>
      <c r="AG149" s="174"/>
      <c r="AH149" s="174"/>
      <c r="AI149" s="183"/>
      <c r="AJ149" s="198"/>
      <c r="AK149" s="198"/>
      <c r="AL149" s="177"/>
      <c r="AM149" s="198"/>
      <c r="AN149" s="198"/>
      <c r="AO149" s="174"/>
      <c r="AP149" s="174"/>
      <c r="AQ149" s="174"/>
      <c r="AR149" s="174"/>
      <c r="AS149" s="174"/>
      <c r="AT149" s="174"/>
      <c r="AU149" s="174"/>
      <c r="AV149" s="174"/>
      <c r="AW149" s="176"/>
      <c r="AX149" s="37"/>
      <c r="AY149" s="37"/>
      <c r="AZ149" s="37"/>
      <c r="BA149" s="37"/>
      <c r="BB149" s="37"/>
      <c r="BC149" s="37"/>
      <c r="BD149" s="37"/>
      <c r="BE149" s="37"/>
      <c r="BF149" s="37"/>
    </row>
    <row r="150" spans="1:58" s="151" customFormat="1" x14ac:dyDescent="0.2">
      <c r="A150" s="174"/>
      <c r="B150" s="174"/>
      <c r="C150" s="174"/>
      <c r="D150" s="174"/>
      <c r="E150" s="174"/>
      <c r="F150" s="174"/>
      <c r="G150" s="174"/>
      <c r="H150" s="174"/>
      <c r="I150" s="174"/>
      <c r="J150" s="174"/>
      <c r="K150" s="174"/>
      <c r="L150" s="174"/>
      <c r="M150" s="174"/>
      <c r="N150" s="174"/>
      <c r="O150" s="174"/>
      <c r="P150" s="174"/>
      <c r="Q150" s="174"/>
      <c r="R150" s="174"/>
      <c r="S150" s="174"/>
      <c r="T150" s="171" t="s">
        <v>1206</v>
      </c>
      <c r="U150" s="171" t="s">
        <v>1208</v>
      </c>
      <c r="V150" s="171" t="s">
        <v>1227</v>
      </c>
      <c r="W150" s="183" t="s">
        <v>905</v>
      </c>
      <c r="X150" s="171" t="s">
        <v>1383</v>
      </c>
      <c r="Y150" s="174"/>
      <c r="Z150" s="174"/>
      <c r="AA150" s="205"/>
      <c r="AB150" s="205"/>
      <c r="AC150" s="171"/>
      <c r="AD150" s="174" t="s">
        <v>332</v>
      </c>
      <c r="AE150" s="174" t="s">
        <v>332</v>
      </c>
      <c r="AF150" s="174" t="s">
        <v>1549</v>
      </c>
      <c r="AG150" s="174"/>
      <c r="AH150" s="174"/>
      <c r="AI150" s="183"/>
      <c r="AJ150" s="198"/>
      <c r="AK150" s="198"/>
      <c r="AL150" s="177"/>
      <c r="AM150" s="198"/>
      <c r="AN150" s="198"/>
      <c r="AO150" s="174"/>
      <c r="AP150" s="174"/>
      <c r="AQ150" s="174"/>
      <c r="AR150" s="174"/>
      <c r="AS150" s="174"/>
      <c r="AT150" s="174"/>
      <c r="AU150" s="174"/>
      <c r="AV150" s="174"/>
      <c r="AW150" s="176"/>
      <c r="AX150" s="37"/>
      <c r="AY150" s="37"/>
      <c r="AZ150" s="37"/>
      <c r="BA150" s="37"/>
      <c r="BB150" s="37"/>
      <c r="BC150" s="37"/>
      <c r="BD150" s="37"/>
      <c r="BE150" s="37"/>
      <c r="BF150" s="37"/>
    </row>
    <row r="151" spans="1:58" x14ac:dyDescent="0.2">
      <c r="A151" s="174"/>
      <c r="B151" s="174"/>
      <c r="C151" s="174"/>
      <c r="D151" s="174"/>
      <c r="E151" s="174"/>
      <c r="F151" s="174"/>
      <c r="G151" s="174"/>
      <c r="H151" s="174"/>
      <c r="I151" s="174"/>
      <c r="J151" s="174"/>
      <c r="K151" s="174"/>
      <c r="L151" s="174"/>
      <c r="M151" s="174"/>
      <c r="N151" s="174"/>
      <c r="O151" s="174"/>
      <c r="P151" s="174"/>
      <c r="Q151" s="174"/>
      <c r="R151" s="174"/>
      <c r="S151" s="174"/>
      <c r="T151" s="171" t="s">
        <v>1206</v>
      </c>
      <c r="U151" s="171" t="s">
        <v>1209</v>
      </c>
      <c r="V151" s="171" t="s">
        <v>1229</v>
      </c>
      <c r="W151" s="183" t="s">
        <v>1230</v>
      </c>
      <c r="X151" s="171" t="s">
        <v>1383</v>
      </c>
      <c r="Y151" s="174"/>
      <c r="Z151" s="174"/>
      <c r="AA151" s="205"/>
      <c r="AB151" s="205"/>
      <c r="AC151" s="171"/>
      <c r="AD151" s="174" t="s">
        <v>332</v>
      </c>
      <c r="AE151" s="174" t="s">
        <v>332</v>
      </c>
      <c r="AF151" s="174" t="s">
        <v>1549</v>
      </c>
      <c r="AG151" s="174"/>
      <c r="AH151" s="174"/>
      <c r="AI151" s="183"/>
      <c r="AJ151" s="198"/>
      <c r="AK151" s="198"/>
      <c r="AL151" s="177"/>
      <c r="AM151" s="198"/>
      <c r="AN151" s="198"/>
      <c r="AO151" s="174"/>
      <c r="AP151" s="174"/>
      <c r="AQ151" s="174"/>
      <c r="AR151" s="174"/>
      <c r="AS151" s="174"/>
      <c r="AT151" s="174"/>
      <c r="AU151" s="174"/>
      <c r="AV151" s="174"/>
      <c r="AW151" s="176"/>
      <c r="AX151" s="37"/>
      <c r="AY151" s="37"/>
      <c r="AZ151" s="37"/>
      <c r="BA151" s="37"/>
      <c r="BB151" s="37"/>
      <c r="BC151" s="37"/>
      <c r="BD151" s="37"/>
      <c r="BE151" s="37"/>
      <c r="BF151" s="37"/>
    </row>
    <row r="152" spans="1:58" s="37" customFormat="1" x14ac:dyDescent="0.2">
      <c r="A152" s="174"/>
      <c r="B152" s="174"/>
      <c r="C152" s="174"/>
      <c r="D152" s="174"/>
      <c r="E152" s="174"/>
      <c r="F152" s="174"/>
      <c r="G152" s="174"/>
      <c r="H152" s="174"/>
      <c r="I152" s="174"/>
      <c r="J152" s="174"/>
      <c r="K152" s="174"/>
      <c r="L152" s="174"/>
      <c r="M152" s="174"/>
      <c r="N152" s="174"/>
      <c r="O152" s="174"/>
      <c r="P152" s="174"/>
      <c r="Q152" s="174"/>
      <c r="R152" s="174"/>
      <c r="S152" s="174"/>
      <c r="T152" s="171" t="s">
        <v>1206</v>
      </c>
      <c r="U152" s="171" t="s">
        <v>1209</v>
      </c>
      <c r="V152" s="171" t="s">
        <v>1231</v>
      </c>
      <c r="W152" s="183" t="s">
        <v>905</v>
      </c>
      <c r="X152" s="171" t="s">
        <v>1383</v>
      </c>
      <c r="Y152" s="174"/>
      <c r="Z152" s="174"/>
      <c r="AA152" s="205"/>
      <c r="AB152" s="205"/>
      <c r="AC152" s="171"/>
      <c r="AD152" s="174" t="s">
        <v>332</v>
      </c>
      <c r="AE152" s="174" t="s">
        <v>332</v>
      </c>
      <c r="AF152" s="174" t="s">
        <v>1549</v>
      </c>
      <c r="AG152" s="174"/>
      <c r="AH152" s="174"/>
      <c r="AI152" s="183"/>
      <c r="AJ152" s="198"/>
      <c r="AK152" s="198"/>
      <c r="AL152" s="177"/>
      <c r="AM152" s="198"/>
      <c r="AN152" s="198"/>
      <c r="AO152" s="174"/>
      <c r="AP152" s="174"/>
      <c r="AQ152" s="174"/>
      <c r="AR152" s="174"/>
      <c r="AS152" s="174"/>
      <c r="AT152" s="174"/>
      <c r="AU152" s="174"/>
      <c r="AV152" s="174"/>
      <c r="AW152" s="176"/>
    </row>
    <row r="153" spans="1:58" s="37" customFormat="1" x14ac:dyDescent="0.2">
      <c r="A153" s="174"/>
      <c r="B153" s="174"/>
      <c r="C153" s="174"/>
      <c r="D153" s="174"/>
      <c r="E153" s="174"/>
      <c r="F153" s="174"/>
      <c r="G153" s="174"/>
      <c r="H153" s="174"/>
      <c r="I153" s="174"/>
      <c r="J153" s="174"/>
      <c r="K153" s="174"/>
      <c r="L153" s="174"/>
      <c r="M153" s="174"/>
      <c r="N153" s="174"/>
      <c r="O153" s="174"/>
      <c r="P153" s="174"/>
      <c r="Q153" s="174"/>
      <c r="R153" s="174"/>
      <c r="S153" s="174"/>
      <c r="T153" s="171" t="s">
        <v>1206</v>
      </c>
      <c r="U153" s="171" t="s">
        <v>1209</v>
      </c>
      <c r="V153" s="171" t="s">
        <v>1095</v>
      </c>
      <c r="W153" s="183" t="s">
        <v>1232</v>
      </c>
      <c r="X153" s="183" t="s">
        <v>1383</v>
      </c>
      <c r="Y153" s="183"/>
      <c r="Z153" s="183"/>
      <c r="AA153" s="205"/>
      <c r="AB153" s="205"/>
      <c r="AC153" s="183"/>
      <c r="AD153" s="183" t="s">
        <v>332</v>
      </c>
      <c r="AE153" s="183" t="s">
        <v>332</v>
      </c>
      <c r="AF153" s="183" t="s">
        <v>1549</v>
      </c>
      <c r="AG153" s="183"/>
      <c r="AH153" s="183"/>
      <c r="AI153" s="183"/>
      <c r="AJ153" s="198"/>
      <c r="AK153" s="198"/>
      <c r="AL153" s="177"/>
      <c r="AM153" s="198"/>
      <c r="AN153" s="198"/>
      <c r="AO153" s="174"/>
      <c r="AP153" s="174"/>
      <c r="AQ153" s="174"/>
      <c r="AR153" s="174"/>
      <c r="AS153" s="174"/>
      <c r="AT153" s="174"/>
      <c r="AU153" s="174"/>
      <c r="AV153" s="174"/>
      <c r="AW153" s="176"/>
    </row>
    <row r="154" spans="1:58" s="37" customFormat="1" x14ac:dyDescent="0.2">
      <c r="A154" s="174"/>
      <c r="B154" s="174"/>
      <c r="C154" s="174"/>
      <c r="D154" s="174"/>
      <c r="E154" s="174"/>
      <c r="F154" s="174"/>
      <c r="G154" s="174"/>
      <c r="H154" s="174"/>
      <c r="I154" s="174"/>
      <c r="J154" s="174"/>
      <c r="K154" s="174"/>
      <c r="L154" s="174"/>
      <c r="M154" s="174"/>
      <c r="N154" s="174"/>
      <c r="O154" s="174"/>
      <c r="P154" s="174"/>
      <c r="Q154" s="174"/>
      <c r="R154" s="174"/>
      <c r="S154" s="174"/>
      <c r="T154" s="171" t="s">
        <v>1206</v>
      </c>
      <c r="U154" s="171" t="s">
        <v>1209</v>
      </c>
      <c r="V154" s="171" t="s">
        <v>1233</v>
      </c>
      <c r="W154" s="183" t="s">
        <v>1234</v>
      </c>
      <c r="X154" s="171" t="s">
        <v>1383</v>
      </c>
      <c r="Y154" s="174" t="s">
        <v>1168</v>
      </c>
      <c r="Z154" s="174" t="s">
        <v>986</v>
      </c>
      <c r="AA154" s="205" t="str">
        <f>AC154</f>
        <v>validFromDate</v>
      </c>
      <c r="AB154" s="205"/>
      <c r="AC154" s="171" t="s">
        <v>1233</v>
      </c>
      <c r="AD154" s="174" t="s">
        <v>332</v>
      </c>
      <c r="AE154" s="174" t="s">
        <v>332</v>
      </c>
      <c r="AF154" s="174" t="s">
        <v>1549</v>
      </c>
      <c r="AG154" s="174"/>
      <c r="AH154" s="174"/>
      <c r="AI154" s="176"/>
      <c r="AJ154" s="198"/>
      <c r="AK154" s="198"/>
      <c r="AL154" s="177"/>
      <c r="AM154" s="198"/>
      <c r="AN154" s="198"/>
      <c r="AO154" s="174"/>
      <c r="AP154" s="174"/>
      <c r="AQ154" s="174"/>
      <c r="AR154" s="174"/>
      <c r="AS154" s="174"/>
      <c r="AT154" s="174"/>
      <c r="AU154" s="174"/>
      <c r="AV154" s="174"/>
      <c r="AW154" s="176"/>
    </row>
    <row r="155" spans="1:58" s="37" customFormat="1" x14ac:dyDescent="0.2">
      <c r="A155" s="174"/>
      <c r="B155" s="174"/>
      <c r="C155" s="174"/>
      <c r="D155" s="174"/>
      <c r="E155" s="174"/>
      <c r="F155" s="174"/>
      <c r="G155" s="174"/>
      <c r="H155" s="174"/>
      <c r="I155" s="174"/>
      <c r="J155" s="174"/>
      <c r="K155" s="174"/>
      <c r="L155" s="174"/>
      <c r="M155" s="174"/>
      <c r="N155" s="174"/>
      <c r="O155" s="174"/>
      <c r="P155" s="174"/>
      <c r="Q155" s="174"/>
      <c r="R155" s="174"/>
      <c r="S155" s="174"/>
      <c r="T155" s="171" t="s">
        <v>1206</v>
      </c>
      <c r="U155" s="171" t="s">
        <v>1209</v>
      </c>
      <c r="V155" s="171" t="s">
        <v>1235</v>
      </c>
      <c r="W155" s="174" t="s">
        <v>1234</v>
      </c>
      <c r="X155" s="171" t="s">
        <v>1383</v>
      </c>
      <c r="Y155" s="174" t="s">
        <v>1168</v>
      </c>
      <c r="Z155" s="174" t="s">
        <v>986</v>
      </c>
      <c r="AA155" s="205" t="str">
        <f>AC155</f>
        <v>validToDate</v>
      </c>
      <c r="AB155" s="205"/>
      <c r="AC155" s="171" t="s">
        <v>1235</v>
      </c>
      <c r="AD155" s="174" t="s">
        <v>332</v>
      </c>
      <c r="AE155" s="174" t="s">
        <v>332</v>
      </c>
      <c r="AF155" s="174" t="s">
        <v>1549</v>
      </c>
      <c r="AG155" s="174"/>
      <c r="AH155" s="174"/>
      <c r="AI155" s="176"/>
      <c r="AJ155" s="198"/>
      <c r="AK155" s="198"/>
      <c r="AL155" s="177"/>
      <c r="AM155" s="198"/>
      <c r="AN155" s="198"/>
      <c r="AO155" s="174"/>
      <c r="AP155" s="174"/>
      <c r="AQ155" s="174"/>
      <c r="AR155" s="174"/>
      <c r="AS155" s="174"/>
      <c r="AT155" s="174"/>
      <c r="AU155" s="174"/>
      <c r="AV155" s="174"/>
      <c r="AW155" s="176"/>
    </row>
    <row r="156" spans="1:58" s="37" customFormat="1" x14ac:dyDescent="0.2">
      <c r="A156" s="174"/>
      <c r="B156" s="174"/>
      <c r="C156" s="174"/>
      <c r="D156" s="174"/>
      <c r="E156" s="174"/>
      <c r="F156" s="174"/>
      <c r="G156" s="174"/>
      <c r="H156" s="174"/>
      <c r="I156" s="174"/>
      <c r="J156" s="174"/>
      <c r="K156" s="174"/>
      <c r="L156" s="174"/>
      <c r="M156" s="174"/>
      <c r="N156" s="174"/>
      <c r="O156" s="174"/>
      <c r="P156" s="174"/>
      <c r="Q156" s="174"/>
      <c r="R156" s="174"/>
      <c r="S156" s="174"/>
      <c r="T156" s="171" t="s">
        <v>1206</v>
      </c>
      <c r="U156" s="171" t="s">
        <v>1209</v>
      </c>
      <c r="V156" s="171" t="s">
        <v>1236</v>
      </c>
      <c r="W156" s="214" t="s">
        <v>1237</v>
      </c>
      <c r="X156" s="171" t="s">
        <v>1383</v>
      </c>
      <c r="Y156" s="174"/>
      <c r="Z156" s="174"/>
      <c r="AA156" s="205"/>
      <c r="AB156" s="205"/>
      <c r="AC156" s="171"/>
      <c r="AD156" s="174" t="s">
        <v>332</v>
      </c>
      <c r="AE156" s="174" t="s">
        <v>332</v>
      </c>
      <c r="AF156" s="174" t="s">
        <v>1549</v>
      </c>
      <c r="AG156" s="174"/>
      <c r="AH156" s="174"/>
      <c r="AI156" s="176"/>
      <c r="AJ156" s="198"/>
      <c r="AK156" s="198"/>
      <c r="AL156" s="177"/>
      <c r="AM156" s="198"/>
      <c r="AN156" s="198"/>
      <c r="AO156" s="174"/>
      <c r="AP156" s="174"/>
      <c r="AQ156" s="174"/>
      <c r="AR156" s="174"/>
      <c r="AS156" s="174"/>
      <c r="AT156" s="174"/>
      <c r="AU156" s="174"/>
      <c r="AV156" s="174"/>
      <c r="AW156" s="176"/>
    </row>
    <row r="157" spans="1:58" s="37" customFormat="1" x14ac:dyDescent="0.2">
      <c r="A157" s="174"/>
      <c r="B157" s="174"/>
      <c r="C157" s="174"/>
      <c r="D157" s="174"/>
      <c r="E157" s="174"/>
      <c r="F157" s="174"/>
      <c r="G157" s="174"/>
      <c r="H157" s="174"/>
      <c r="I157" s="174"/>
      <c r="J157" s="174"/>
      <c r="K157" s="174"/>
      <c r="L157" s="174"/>
      <c r="M157" s="174"/>
      <c r="N157" s="174"/>
      <c r="O157" s="174"/>
      <c r="P157" s="174"/>
      <c r="Q157" s="174"/>
      <c r="R157" s="174"/>
      <c r="S157" s="174"/>
      <c r="T157" s="171" t="s">
        <v>1206</v>
      </c>
      <c r="U157" s="171" t="s">
        <v>1209</v>
      </c>
      <c r="V157" s="174" t="s">
        <v>1224</v>
      </c>
      <c r="W157" s="174" t="s">
        <v>1225</v>
      </c>
      <c r="X157" s="171" t="s">
        <v>1383</v>
      </c>
      <c r="Y157" s="174"/>
      <c r="Z157" s="174"/>
      <c r="AA157" s="205"/>
      <c r="AB157" s="205"/>
      <c r="AC157" s="171"/>
      <c r="AD157" s="174" t="s">
        <v>332</v>
      </c>
      <c r="AE157" s="174" t="s">
        <v>332</v>
      </c>
      <c r="AF157" s="174" t="s">
        <v>1549</v>
      </c>
      <c r="AG157" s="174"/>
      <c r="AH157" s="174"/>
      <c r="AI157" s="176"/>
      <c r="AJ157" s="198"/>
      <c r="AK157" s="198"/>
      <c r="AL157" s="177"/>
      <c r="AM157" s="198"/>
      <c r="AN157" s="198"/>
      <c r="AO157" s="174"/>
      <c r="AP157" s="174"/>
      <c r="AQ157" s="174"/>
      <c r="AR157" s="174"/>
      <c r="AS157" s="174"/>
      <c r="AT157" s="174"/>
      <c r="AU157" s="174"/>
      <c r="AV157" s="174"/>
      <c r="AW157" s="176"/>
      <c r="BC157" s="205"/>
    </row>
    <row r="158" spans="1:58" s="37" customFormat="1" x14ac:dyDescent="0.2">
      <c r="A158" s="174"/>
      <c r="B158" s="174"/>
      <c r="C158" s="174"/>
      <c r="D158" s="174"/>
      <c r="E158" s="174"/>
      <c r="F158" s="174"/>
      <c r="G158" s="174"/>
      <c r="H158" s="174"/>
      <c r="I158" s="174"/>
      <c r="J158" s="174"/>
      <c r="K158" s="174"/>
      <c r="L158" s="174"/>
      <c r="M158" s="174"/>
      <c r="N158" s="174"/>
      <c r="O158" s="174"/>
      <c r="P158" s="174"/>
      <c r="Q158" s="174"/>
      <c r="R158" s="174"/>
      <c r="S158" s="174"/>
      <c r="T158" s="171" t="s">
        <v>1206</v>
      </c>
      <c r="U158" s="172" t="s">
        <v>1214</v>
      </c>
      <c r="V158" s="174" t="s">
        <v>1238</v>
      </c>
      <c r="W158" s="174" t="s">
        <v>905</v>
      </c>
      <c r="X158" s="171" t="s">
        <v>1383</v>
      </c>
      <c r="Y158" s="174"/>
      <c r="Z158" s="174"/>
      <c r="AA158" s="205"/>
      <c r="AB158" s="205"/>
      <c r="AC158" s="171"/>
      <c r="AD158" s="174" t="s">
        <v>332</v>
      </c>
      <c r="AE158" s="174" t="s">
        <v>332</v>
      </c>
      <c r="AF158" s="174" t="s">
        <v>1549</v>
      </c>
      <c r="AG158" s="174"/>
      <c r="AH158" s="174"/>
      <c r="AI158" s="176"/>
      <c r="AJ158" s="198"/>
      <c r="AK158" s="198"/>
      <c r="AL158" s="177"/>
      <c r="AM158" s="198"/>
      <c r="AN158" s="198"/>
      <c r="AO158" s="174"/>
      <c r="AP158" s="174"/>
      <c r="AQ158" s="174"/>
      <c r="AR158" s="174"/>
      <c r="AS158" s="174"/>
      <c r="AT158" s="174"/>
      <c r="AU158" s="174"/>
      <c r="AV158" s="174"/>
      <c r="AW158" s="176"/>
    </row>
    <row r="159" spans="1:58" s="37" customFormat="1" x14ac:dyDescent="0.2">
      <c r="A159" s="174"/>
      <c r="B159" s="174"/>
      <c r="C159" s="174"/>
      <c r="D159" s="174"/>
      <c r="E159" s="174"/>
      <c r="F159" s="174"/>
      <c r="G159" s="174"/>
      <c r="H159" s="174"/>
      <c r="I159" s="174"/>
      <c r="J159" s="174"/>
      <c r="K159" s="174"/>
      <c r="L159" s="174"/>
      <c r="M159" s="174"/>
      <c r="N159" s="174"/>
      <c r="O159" s="174"/>
      <c r="P159" s="174"/>
      <c r="Q159" s="174"/>
      <c r="R159" s="174"/>
      <c r="S159" s="174"/>
      <c r="T159" s="171" t="s">
        <v>1206</v>
      </c>
      <c r="U159" s="172" t="s">
        <v>1215</v>
      </c>
      <c r="V159" s="174" t="s">
        <v>1239</v>
      </c>
      <c r="W159" s="174" t="s">
        <v>905</v>
      </c>
      <c r="X159" s="171" t="s">
        <v>1383</v>
      </c>
      <c r="Y159" s="174"/>
      <c r="Z159" s="174"/>
      <c r="AA159" s="205"/>
      <c r="AB159" s="205"/>
      <c r="AC159" s="171"/>
      <c r="AD159" s="174" t="s">
        <v>332</v>
      </c>
      <c r="AE159" s="174" t="s">
        <v>332</v>
      </c>
      <c r="AF159" s="174" t="s">
        <v>1549</v>
      </c>
      <c r="AG159" s="174"/>
      <c r="AH159" s="174"/>
      <c r="AI159" s="176"/>
      <c r="AJ159" s="198"/>
      <c r="AK159" s="198"/>
      <c r="AL159" s="177"/>
      <c r="AM159" s="198"/>
      <c r="AN159" s="198"/>
      <c r="AO159" s="174"/>
      <c r="AP159" s="174"/>
      <c r="AQ159" s="174"/>
      <c r="AR159" s="174"/>
      <c r="AS159" s="174"/>
      <c r="AT159" s="174"/>
      <c r="AU159" s="174"/>
      <c r="AV159" s="174"/>
      <c r="AW159" s="176"/>
    </row>
    <row r="160" spans="1:58" s="37" customFormat="1" x14ac:dyDescent="0.2">
      <c r="A160" s="174"/>
      <c r="B160" s="174"/>
      <c r="C160" s="174"/>
      <c r="D160" s="174"/>
      <c r="E160" s="174"/>
      <c r="F160" s="174"/>
      <c r="G160" s="174"/>
      <c r="H160" s="174"/>
      <c r="I160" s="174"/>
      <c r="J160" s="174"/>
      <c r="K160" s="174"/>
      <c r="L160" s="174"/>
      <c r="M160" s="174"/>
      <c r="N160" s="174"/>
      <c r="O160" s="174"/>
      <c r="P160" s="174"/>
      <c r="Q160" s="174"/>
      <c r="R160" s="174"/>
      <c r="S160" s="174"/>
      <c r="T160" s="171" t="s">
        <v>1206</v>
      </c>
      <c r="U160" s="172" t="s">
        <v>1214</v>
      </c>
      <c r="V160" s="174" t="s">
        <v>1224</v>
      </c>
      <c r="W160" s="174" t="s">
        <v>1225</v>
      </c>
      <c r="X160" s="171" t="s">
        <v>1383</v>
      </c>
      <c r="Y160" s="174"/>
      <c r="Z160" s="174"/>
      <c r="AA160" s="205"/>
      <c r="AB160" s="205"/>
      <c r="AC160" s="171"/>
      <c r="AD160" s="174" t="s">
        <v>332</v>
      </c>
      <c r="AE160" s="174" t="s">
        <v>332</v>
      </c>
      <c r="AF160" s="174" t="s">
        <v>1549</v>
      </c>
      <c r="AG160" s="174"/>
      <c r="AH160" s="174"/>
      <c r="AI160" s="176"/>
      <c r="AJ160" s="198"/>
      <c r="AK160" s="198"/>
      <c r="AL160" s="177"/>
      <c r="AM160" s="198"/>
      <c r="AN160" s="198"/>
      <c r="AO160" s="174"/>
      <c r="AP160" s="174"/>
      <c r="AQ160" s="174"/>
      <c r="AR160" s="174"/>
      <c r="AS160" s="174"/>
      <c r="AT160" s="174"/>
      <c r="AU160" s="174"/>
      <c r="AV160" s="174"/>
      <c r="AW160" s="176"/>
    </row>
    <row r="161" spans="1:58" s="129" customFormat="1" x14ac:dyDescent="0.2">
      <c r="A161" s="174"/>
      <c r="B161" s="174"/>
      <c r="C161" s="174"/>
      <c r="D161" s="174"/>
      <c r="E161" s="174"/>
      <c r="F161" s="174"/>
      <c r="G161" s="174"/>
      <c r="H161" s="174"/>
      <c r="I161" s="174"/>
      <c r="J161" s="174"/>
      <c r="K161" s="174"/>
      <c r="L161" s="174"/>
      <c r="M161" s="174"/>
      <c r="N161" s="174"/>
      <c r="O161" s="174"/>
      <c r="P161" s="174"/>
      <c r="Q161" s="174"/>
      <c r="R161" s="174"/>
      <c r="S161" s="174"/>
      <c r="T161" s="171" t="s">
        <v>1206</v>
      </c>
      <c r="U161" s="172" t="s">
        <v>1215</v>
      </c>
      <c r="V161" s="174" t="s">
        <v>1224</v>
      </c>
      <c r="W161" s="174" t="s">
        <v>1225</v>
      </c>
      <c r="X161" s="171" t="s">
        <v>1383</v>
      </c>
      <c r="Y161" s="174"/>
      <c r="Z161" s="174"/>
      <c r="AA161" s="205"/>
      <c r="AB161" s="205"/>
      <c r="AC161" s="171"/>
      <c r="AD161" s="174" t="s">
        <v>332</v>
      </c>
      <c r="AE161" s="174" t="s">
        <v>332</v>
      </c>
      <c r="AF161" s="174" t="s">
        <v>1549</v>
      </c>
      <c r="AG161" s="174"/>
      <c r="AH161" s="174"/>
      <c r="AI161" s="176"/>
      <c r="AJ161" s="198"/>
      <c r="AK161" s="198"/>
      <c r="AL161" s="177"/>
      <c r="AM161" s="198"/>
      <c r="AN161" s="198"/>
      <c r="AO161" s="174"/>
      <c r="AP161" s="174"/>
      <c r="AQ161" s="174"/>
      <c r="AR161" s="174"/>
      <c r="AS161" s="174"/>
      <c r="AT161" s="174"/>
      <c r="AU161" s="174"/>
      <c r="AV161" s="174"/>
      <c r="AW161" s="176"/>
      <c r="AX161" s="37"/>
      <c r="AY161" s="37"/>
      <c r="AZ161" s="37"/>
      <c r="BA161" s="37"/>
      <c r="BB161" s="37"/>
      <c r="BC161" s="37"/>
      <c r="BD161" s="37"/>
      <c r="BE161" s="37"/>
      <c r="BF161" s="37"/>
    </row>
    <row r="162" spans="1:58" s="37" customFormat="1" x14ac:dyDescent="0.2">
      <c r="A162" s="174"/>
      <c r="B162" s="174"/>
      <c r="C162" s="174"/>
      <c r="D162" s="174"/>
      <c r="E162" s="174"/>
      <c r="F162" s="174"/>
      <c r="G162" s="174"/>
      <c r="H162" s="174"/>
      <c r="I162" s="174"/>
      <c r="J162" s="174"/>
      <c r="K162" s="174"/>
      <c r="L162" s="174"/>
      <c r="M162" s="174"/>
      <c r="N162" s="174"/>
      <c r="O162" s="174"/>
      <c r="P162" s="174"/>
      <c r="Q162" s="174"/>
      <c r="R162" s="174"/>
      <c r="S162" s="174"/>
      <c r="T162" s="171" t="s">
        <v>1206</v>
      </c>
      <c r="U162" s="172" t="s">
        <v>1210</v>
      </c>
      <c r="V162" s="174" t="s">
        <v>1240</v>
      </c>
      <c r="W162" s="174" t="s">
        <v>905</v>
      </c>
      <c r="X162" s="171"/>
      <c r="Y162" s="171"/>
      <c r="Z162" s="174"/>
      <c r="AA162" s="205"/>
      <c r="AB162" s="175"/>
      <c r="AC162" s="171"/>
      <c r="AD162" s="174" t="s">
        <v>332</v>
      </c>
      <c r="AE162" s="174" t="s">
        <v>332</v>
      </c>
      <c r="AF162" s="174" t="s">
        <v>1549</v>
      </c>
      <c r="AG162" s="174"/>
      <c r="AH162" s="174"/>
      <c r="AI162" s="176"/>
      <c r="AJ162" s="198"/>
      <c r="AK162" s="177"/>
      <c r="AL162" s="177"/>
      <c r="AM162" s="198"/>
      <c r="AN162" s="198"/>
      <c r="AO162" s="174"/>
      <c r="AP162" s="174"/>
      <c r="AQ162" s="174"/>
      <c r="AR162" s="174"/>
      <c r="AS162" s="174"/>
      <c r="AT162" s="174"/>
      <c r="AU162" s="174"/>
      <c r="AV162" s="174"/>
      <c r="AW162" s="176"/>
    </row>
    <row r="163" spans="1:58" s="37" customFormat="1" x14ac:dyDescent="0.2">
      <c r="A163" s="174"/>
      <c r="B163" s="174"/>
      <c r="C163" s="174"/>
      <c r="D163" s="174"/>
      <c r="E163" s="174"/>
      <c r="F163" s="174"/>
      <c r="G163" s="174"/>
      <c r="H163" s="174"/>
      <c r="I163" s="174"/>
      <c r="J163" s="174"/>
      <c r="K163" s="174"/>
      <c r="L163" s="174"/>
      <c r="M163" s="174"/>
      <c r="N163" s="174"/>
      <c r="O163" s="174"/>
      <c r="P163" s="174"/>
      <c r="Q163" s="174"/>
      <c r="R163" s="174"/>
      <c r="S163" s="174"/>
      <c r="T163" s="171" t="s">
        <v>1206</v>
      </c>
      <c r="U163" s="172" t="s">
        <v>1212</v>
      </c>
      <c r="V163" s="174" t="s">
        <v>906</v>
      </c>
      <c r="W163" s="174" t="s">
        <v>905</v>
      </c>
      <c r="X163" s="171" t="s">
        <v>1383</v>
      </c>
      <c r="Y163" s="174"/>
      <c r="Z163" s="174"/>
      <c r="AA163" s="205"/>
      <c r="AB163" s="205"/>
      <c r="AC163" s="171"/>
      <c r="AD163" s="174" t="s">
        <v>332</v>
      </c>
      <c r="AE163" s="174" t="s">
        <v>332</v>
      </c>
      <c r="AF163" s="174" t="s">
        <v>1549</v>
      </c>
      <c r="AG163" s="174"/>
      <c r="AH163" s="174"/>
      <c r="AI163" s="176"/>
      <c r="AJ163" s="198"/>
      <c r="AK163" s="198"/>
      <c r="AL163" s="177"/>
      <c r="AM163" s="198"/>
      <c r="AN163" s="198"/>
      <c r="AO163" s="174"/>
      <c r="AP163" s="174"/>
      <c r="AQ163" s="174"/>
      <c r="AR163" s="174"/>
      <c r="AS163" s="174"/>
      <c r="AT163" s="174"/>
      <c r="AU163" s="174"/>
      <c r="AV163" s="174"/>
      <c r="AW163" s="176"/>
    </row>
    <row r="164" spans="1:58" s="37" customFormat="1" x14ac:dyDescent="0.2">
      <c r="A164" s="174"/>
      <c r="B164" s="174"/>
      <c r="C164" s="174"/>
      <c r="D164" s="174"/>
      <c r="E164" s="174"/>
      <c r="F164" s="174"/>
      <c r="G164" s="174"/>
      <c r="H164" s="174"/>
      <c r="I164" s="174"/>
      <c r="J164" s="174"/>
      <c r="K164" s="174"/>
      <c r="L164" s="174"/>
      <c r="M164" s="174"/>
      <c r="N164" s="174"/>
      <c r="O164" s="174"/>
      <c r="P164" s="174"/>
      <c r="Q164" s="174"/>
      <c r="R164" s="174"/>
      <c r="S164" s="174"/>
      <c r="T164" s="171" t="s">
        <v>1206</v>
      </c>
      <c r="U164" s="172" t="s">
        <v>1212</v>
      </c>
      <c r="V164" s="174" t="s">
        <v>1224</v>
      </c>
      <c r="W164" s="174" t="s">
        <v>1225</v>
      </c>
      <c r="X164" s="171" t="s">
        <v>1383</v>
      </c>
      <c r="Y164" s="174"/>
      <c r="Z164" s="174"/>
      <c r="AA164" s="205"/>
      <c r="AB164" s="205"/>
      <c r="AC164" s="171"/>
      <c r="AD164" s="174" t="s">
        <v>332</v>
      </c>
      <c r="AE164" s="174" t="s">
        <v>332</v>
      </c>
      <c r="AF164" s="174" t="s">
        <v>1549</v>
      </c>
      <c r="AG164" s="174"/>
      <c r="AH164" s="174"/>
      <c r="AI164" s="176"/>
      <c r="AJ164" s="198"/>
      <c r="AK164" s="198"/>
      <c r="AL164" s="177"/>
      <c r="AM164" s="198"/>
      <c r="AN164" s="198"/>
      <c r="AO164" s="174"/>
      <c r="AP164" s="174"/>
      <c r="AQ164" s="174"/>
      <c r="AR164" s="174"/>
      <c r="AS164" s="174"/>
      <c r="AT164" s="174"/>
      <c r="AU164" s="174"/>
      <c r="AV164" s="174"/>
      <c r="AW164" s="176"/>
    </row>
    <row r="165" spans="1:58" s="37" customFormat="1" x14ac:dyDescent="0.2">
      <c r="A165" s="174"/>
      <c r="B165" s="174"/>
      <c r="C165" s="174"/>
      <c r="D165" s="174"/>
      <c r="E165" s="174"/>
      <c r="F165" s="174"/>
      <c r="G165" s="174"/>
      <c r="H165" s="174"/>
      <c r="I165" s="174"/>
      <c r="J165" s="174"/>
      <c r="K165" s="174"/>
      <c r="L165" s="174"/>
      <c r="M165" s="174"/>
      <c r="N165" s="174"/>
      <c r="O165" s="174"/>
      <c r="P165" s="174"/>
      <c r="Q165" s="174"/>
      <c r="R165" s="174"/>
      <c r="S165" s="174"/>
      <c r="T165" s="171" t="s">
        <v>1206</v>
      </c>
      <c r="U165" s="172" t="s">
        <v>1210</v>
      </c>
      <c r="V165" s="174" t="s">
        <v>1224</v>
      </c>
      <c r="W165" s="174" t="s">
        <v>1225</v>
      </c>
      <c r="X165" s="171"/>
      <c r="Y165" s="171"/>
      <c r="Z165" s="174"/>
      <c r="AA165" s="205"/>
      <c r="AB165" s="175"/>
      <c r="AC165" s="171"/>
      <c r="AD165" s="174" t="s">
        <v>332</v>
      </c>
      <c r="AE165" s="174" t="s">
        <v>332</v>
      </c>
      <c r="AF165" s="174" t="s">
        <v>1549</v>
      </c>
      <c r="AG165" s="174"/>
      <c r="AH165" s="174"/>
      <c r="AI165" s="176"/>
      <c r="AJ165" s="198"/>
      <c r="AK165" s="177"/>
      <c r="AL165" s="177"/>
      <c r="AM165" s="198"/>
      <c r="AN165" s="198"/>
      <c r="AO165" s="174"/>
      <c r="AP165" s="174"/>
      <c r="AQ165" s="174"/>
      <c r="AR165" s="174"/>
      <c r="AS165" s="174"/>
      <c r="AT165" s="174"/>
      <c r="AU165" s="174"/>
      <c r="AV165" s="174"/>
      <c r="AW165" s="176"/>
    </row>
    <row r="166" spans="1:58" s="37" customFormat="1" x14ac:dyDescent="0.2">
      <c r="A166" s="174"/>
      <c r="B166" s="174"/>
      <c r="C166" s="174"/>
      <c r="D166" s="174"/>
      <c r="E166" s="174"/>
      <c r="F166" s="174"/>
      <c r="G166" s="174"/>
      <c r="H166" s="174"/>
      <c r="I166" s="174"/>
      <c r="J166" s="174"/>
      <c r="K166" s="174"/>
      <c r="L166" s="174"/>
      <c r="M166" s="174"/>
      <c r="N166" s="174"/>
      <c r="O166" s="174"/>
      <c r="P166" s="174"/>
      <c r="Q166" s="174"/>
      <c r="R166" s="174"/>
      <c r="S166" s="174"/>
      <c r="T166" s="174"/>
      <c r="U166" s="174"/>
      <c r="V166" s="174"/>
      <c r="W166" s="183" t="s">
        <v>1494</v>
      </c>
      <c r="X166" s="174"/>
      <c r="Y166" s="174"/>
      <c r="Z166" s="174"/>
      <c r="AA166" s="205"/>
      <c r="AB166" s="205"/>
      <c r="AC166" s="174"/>
      <c r="AD166" s="174" t="s">
        <v>610</v>
      </c>
      <c r="AE166" s="190" t="s">
        <v>1446</v>
      </c>
      <c r="AF166" s="190" t="s">
        <v>1549</v>
      </c>
      <c r="AG166" s="183"/>
      <c r="AH166" s="174"/>
      <c r="AI166" s="186"/>
      <c r="AJ166" s="205"/>
      <c r="AK166" s="205"/>
      <c r="AL166" s="205"/>
      <c r="AM166" s="205"/>
      <c r="AN166" s="205"/>
      <c r="AO166" s="174"/>
      <c r="AP166" s="174"/>
      <c r="AQ166" s="174"/>
      <c r="AR166" s="174"/>
      <c r="AS166" s="174"/>
      <c r="AT166" s="174"/>
      <c r="AU166" s="174"/>
      <c r="AV166" s="174"/>
      <c r="AW166" s="176"/>
      <c r="AX166" s="129"/>
      <c r="AY166" s="129"/>
      <c r="AZ166" s="129"/>
      <c r="BA166" s="129"/>
      <c r="BB166" s="129"/>
      <c r="BC166" s="129"/>
      <c r="BD166" s="129"/>
      <c r="BE166" s="129"/>
      <c r="BF166" s="129"/>
    </row>
    <row r="167" spans="1:58" s="37" customFormat="1" x14ac:dyDescent="0.2">
      <c r="A167" s="174"/>
      <c r="B167" s="174"/>
      <c r="C167" s="174"/>
      <c r="D167" s="174"/>
      <c r="E167" s="174"/>
      <c r="F167" s="174"/>
      <c r="G167" s="174"/>
      <c r="H167" s="174"/>
      <c r="I167" s="174"/>
      <c r="J167" s="174"/>
      <c r="K167" s="174"/>
      <c r="L167" s="174"/>
      <c r="M167" s="174"/>
      <c r="N167" s="174"/>
      <c r="O167" s="174"/>
      <c r="P167" s="174"/>
      <c r="Q167" s="174"/>
      <c r="R167" s="174"/>
      <c r="S167" s="174"/>
      <c r="T167" s="174"/>
      <c r="U167" s="174"/>
      <c r="V167" s="174"/>
      <c r="W167" s="174"/>
      <c r="X167" s="174"/>
      <c r="Y167" s="174"/>
      <c r="Z167" s="174"/>
      <c r="AA167" s="205"/>
      <c r="AB167" s="205"/>
      <c r="AC167" s="174"/>
      <c r="AD167" s="174" t="s">
        <v>610</v>
      </c>
      <c r="AE167" s="190" t="s">
        <v>1447</v>
      </c>
      <c r="AF167" s="190" t="s">
        <v>1549</v>
      </c>
      <c r="AG167" s="183"/>
      <c r="AH167" s="174"/>
      <c r="AI167" s="186"/>
      <c r="AJ167" s="205"/>
      <c r="AK167" s="205"/>
      <c r="AL167" s="205"/>
      <c r="AM167" s="205"/>
      <c r="AN167" s="205"/>
      <c r="AO167" s="174"/>
      <c r="AP167" s="174"/>
      <c r="AQ167" s="174"/>
      <c r="AR167" s="174"/>
      <c r="AS167" s="174"/>
      <c r="AT167" s="174"/>
      <c r="AU167" s="174"/>
      <c r="AV167" s="174"/>
      <c r="AW167" s="176"/>
      <c r="AX167" s="129"/>
      <c r="AY167" s="129"/>
      <c r="AZ167" s="129"/>
      <c r="BA167" s="129"/>
      <c r="BB167" s="129"/>
      <c r="BC167" s="129"/>
      <c r="BD167" s="129"/>
      <c r="BE167" s="129"/>
      <c r="BF167" s="129"/>
    </row>
    <row r="168" spans="1:58" s="37" customFormat="1" x14ac:dyDescent="0.2">
      <c r="A168" s="174"/>
      <c r="B168" s="174"/>
      <c r="C168" s="174"/>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205"/>
      <c r="AB168" s="205"/>
      <c r="AC168" s="174"/>
      <c r="AD168" s="174" t="s">
        <v>610</v>
      </c>
      <c r="AE168" s="190" t="s">
        <v>1448</v>
      </c>
      <c r="AF168" s="190" t="s">
        <v>1549</v>
      </c>
      <c r="AG168" s="183"/>
      <c r="AH168" s="174"/>
      <c r="AI168" s="186"/>
      <c r="AJ168" s="205"/>
      <c r="AK168" s="205"/>
      <c r="AL168" s="205"/>
      <c r="AM168" s="205"/>
      <c r="AN168" s="205"/>
      <c r="AO168" s="174"/>
      <c r="AP168" s="174"/>
      <c r="AQ168" s="174"/>
      <c r="AR168" s="174"/>
      <c r="AS168" s="174"/>
      <c r="AT168" s="174"/>
      <c r="AU168" s="174"/>
      <c r="AV168" s="174"/>
      <c r="AW168" s="176"/>
      <c r="AX168" s="129"/>
      <c r="AY168" s="129"/>
      <c r="AZ168" s="129"/>
      <c r="BA168" s="129"/>
      <c r="BB168" s="129"/>
      <c r="BC168" s="129"/>
      <c r="BD168" s="129"/>
      <c r="BE168" s="129"/>
      <c r="BF168" s="129"/>
    </row>
    <row r="169" spans="1:58" s="37" customFormat="1" x14ac:dyDescent="0.2">
      <c r="A169" s="174"/>
      <c r="B169" s="174"/>
      <c r="C169" s="174"/>
      <c r="D169" s="174"/>
      <c r="E169" s="174"/>
      <c r="F169" s="174"/>
      <c r="G169" s="174"/>
      <c r="H169" s="174"/>
      <c r="I169" s="174"/>
      <c r="J169" s="174"/>
      <c r="K169" s="174"/>
      <c r="L169" s="174"/>
      <c r="M169" s="174"/>
      <c r="N169" s="174"/>
      <c r="O169" s="174"/>
      <c r="P169" s="174"/>
      <c r="Q169" s="174"/>
      <c r="R169" s="174"/>
      <c r="S169" s="174"/>
      <c r="T169" s="174"/>
      <c r="U169" s="174"/>
      <c r="V169" s="174"/>
      <c r="W169" s="174"/>
      <c r="X169" s="174"/>
      <c r="Y169" s="174"/>
      <c r="Z169" s="174"/>
      <c r="AA169" s="205"/>
      <c r="AB169" s="205"/>
      <c r="AC169" s="174"/>
      <c r="AD169" s="174" t="s">
        <v>610</v>
      </c>
      <c r="AE169" s="190" t="s">
        <v>1449</v>
      </c>
      <c r="AF169" s="190" t="s">
        <v>1549</v>
      </c>
      <c r="AG169" s="183"/>
      <c r="AH169" s="174"/>
      <c r="AI169" s="186"/>
      <c r="AJ169" s="205"/>
      <c r="AK169" s="205"/>
      <c r="AL169" s="205"/>
      <c r="AM169" s="205"/>
      <c r="AN169" s="205"/>
      <c r="AO169" s="174"/>
      <c r="AP169" s="174"/>
      <c r="AQ169" s="174"/>
      <c r="AR169" s="174"/>
      <c r="AS169" s="174"/>
      <c r="AT169" s="174"/>
      <c r="AU169" s="174"/>
      <c r="AV169" s="174"/>
      <c r="AW169" s="176"/>
      <c r="AX169" s="129"/>
      <c r="AY169" s="129"/>
      <c r="AZ169" s="129"/>
      <c r="BA169" s="129"/>
      <c r="BB169" s="129"/>
      <c r="BC169" s="129"/>
      <c r="BD169" s="129"/>
      <c r="BE169" s="129"/>
      <c r="BF169" s="129"/>
    </row>
    <row r="170" spans="1:58" s="37" customFormat="1" x14ac:dyDescent="0.2">
      <c r="A170" s="174"/>
      <c r="B170" s="174"/>
      <c r="C170" s="174"/>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205"/>
      <c r="AB170" s="205"/>
      <c r="AC170" s="174"/>
      <c r="AD170" s="174" t="s">
        <v>610</v>
      </c>
      <c r="AE170" s="190" t="s">
        <v>610</v>
      </c>
      <c r="AF170" s="190" t="s">
        <v>1479</v>
      </c>
      <c r="AG170" s="183"/>
      <c r="AH170" s="174"/>
      <c r="AI170" s="186" t="s">
        <v>1566</v>
      </c>
      <c r="AJ170" s="205"/>
      <c r="AK170" s="205"/>
      <c r="AL170" s="205"/>
      <c r="AM170" s="205"/>
      <c r="AN170" s="205"/>
      <c r="AO170" s="174"/>
      <c r="AP170" s="174"/>
      <c r="AQ170" s="174"/>
      <c r="AR170" s="174"/>
      <c r="AS170" s="174"/>
      <c r="AT170" s="174"/>
      <c r="AU170" s="174"/>
      <c r="AV170" s="174"/>
      <c r="AW170" s="176"/>
      <c r="AX170" s="129"/>
      <c r="AY170" s="129"/>
      <c r="AZ170" s="129"/>
      <c r="BA170" s="129"/>
      <c r="BB170" s="129"/>
      <c r="BC170" s="129"/>
      <c r="BD170" s="129"/>
      <c r="BE170" s="129"/>
      <c r="BF170" s="129"/>
    </row>
    <row r="171" spans="1:58" s="37" customFormat="1" ht="25.5" x14ac:dyDescent="0.2">
      <c r="A171" s="174"/>
      <c r="B171" s="174"/>
      <c r="C171" s="174"/>
      <c r="D171" s="174"/>
      <c r="E171" s="174"/>
      <c r="F171" s="174"/>
      <c r="G171" s="174"/>
      <c r="H171" s="174"/>
      <c r="I171" s="174"/>
      <c r="J171" s="174"/>
      <c r="K171" s="174"/>
      <c r="L171" s="174"/>
      <c r="M171" s="174"/>
      <c r="N171" s="174"/>
      <c r="O171" s="174"/>
      <c r="P171" s="174"/>
      <c r="Q171" s="174"/>
      <c r="R171" s="174"/>
      <c r="S171" s="174"/>
      <c r="T171" s="174"/>
      <c r="U171" s="174"/>
      <c r="V171" s="174"/>
      <c r="W171" s="174"/>
      <c r="X171" s="174"/>
      <c r="Y171" s="174"/>
      <c r="Z171" s="190" t="s">
        <v>1567</v>
      </c>
      <c r="AA171" s="205"/>
      <c r="AB171" s="205"/>
      <c r="AC171" s="174" t="s">
        <v>789</v>
      </c>
      <c r="AD171" s="174" t="s">
        <v>1530</v>
      </c>
      <c r="AE171" s="174" t="s">
        <v>248</v>
      </c>
      <c r="AF171" s="174" t="s">
        <v>1479</v>
      </c>
      <c r="AG171" s="183"/>
      <c r="AH171" s="174"/>
      <c r="AI171" s="176" t="s">
        <v>1579</v>
      </c>
      <c r="AJ171" s="205"/>
      <c r="AK171" s="205"/>
      <c r="AL171" s="205"/>
      <c r="AM171" s="205"/>
      <c r="AN171" s="205"/>
      <c r="AO171" s="174"/>
      <c r="AP171" s="174"/>
      <c r="AQ171" s="174"/>
      <c r="AR171" s="174"/>
      <c r="AS171" s="174"/>
      <c r="AT171" s="174"/>
      <c r="AU171" s="174"/>
      <c r="AV171" s="174"/>
      <c r="AW171" s="176"/>
      <c r="AX171" s="129"/>
      <c r="AY171" s="129"/>
      <c r="AZ171" s="129"/>
      <c r="BA171" s="129"/>
      <c r="BB171" s="129"/>
      <c r="BC171" s="129"/>
      <c r="BD171" s="129"/>
      <c r="BE171" s="129"/>
      <c r="BF171" s="129"/>
    </row>
    <row r="172" spans="1:58" s="37" customFormat="1" ht="25.5" x14ac:dyDescent="0.2">
      <c r="A172" s="174"/>
      <c r="B172" s="174"/>
      <c r="C172" s="174"/>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90" t="s">
        <v>1567</v>
      </c>
      <c r="AA172" s="205"/>
      <c r="AB172" s="205"/>
      <c r="AC172" s="174" t="s">
        <v>669</v>
      </c>
      <c r="AD172" s="174" t="s">
        <v>1530</v>
      </c>
      <c r="AE172" s="190" t="s">
        <v>668</v>
      </c>
      <c r="AF172" s="190" t="s">
        <v>1479</v>
      </c>
      <c r="AG172" s="183"/>
      <c r="AH172" s="174"/>
      <c r="AI172" s="176" t="s">
        <v>1579</v>
      </c>
      <c r="AJ172" s="205"/>
      <c r="AK172" s="205"/>
      <c r="AL172" s="205"/>
      <c r="AM172" s="205"/>
      <c r="AN172" s="205"/>
      <c r="AO172" s="174"/>
      <c r="AP172" s="174"/>
      <c r="AQ172" s="174"/>
      <c r="AR172" s="174"/>
      <c r="AS172" s="174"/>
      <c r="AT172" s="174"/>
      <c r="AU172" s="174"/>
      <c r="AV172" s="174"/>
      <c r="AW172" s="176"/>
      <c r="AX172" s="129"/>
      <c r="AY172" s="129"/>
      <c r="AZ172" s="129"/>
      <c r="BA172" s="129"/>
      <c r="BB172" s="129"/>
      <c r="BC172" s="129"/>
      <c r="BD172" s="129"/>
      <c r="BE172" s="129"/>
      <c r="BF172" s="129"/>
    </row>
    <row r="173" spans="1:58" s="37" customFormat="1" ht="25.5" x14ac:dyDescent="0.2">
      <c r="A173" s="174"/>
      <c r="B173" s="174"/>
      <c r="C173" s="174"/>
      <c r="D173" s="174"/>
      <c r="E173" s="174"/>
      <c r="F173" s="174"/>
      <c r="G173" s="174"/>
      <c r="H173" s="174"/>
      <c r="I173" s="174"/>
      <c r="J173" s="174"/>
      <c r="K173" s="174"/>
      <c r="L173" s="174"/>
      <c r="M173" s="174"/>
      <c r="N173" s="174"/>
      <c r="O173" s="174"/>
      <c r="P173" s="174"/>
      <c r="Q173" s="174"/>
      <c r="R173" s="174"/>
      <c r="S173" s="174"/>
      <c r="T173" s="174"/>
      <c r="U173" s="174"/>
      <c r="V173" s="174"/>
      <c r="W173" s="174"/>
      <c r="X173" s="174"/>
      <c r="Y173" s="174"/>
      <c r="Z173" s="190" t="s">
        <v>1567</v>
      </c>
      <c r="AA173" s="205"/>
      <c r="AB173" s="205"/>
      <c r="AC173" s="174" t="s">
        <v>925</v>
      </c>
      <c r="AD173" s="174" t="s">
        <v>1530</v>
      </c>
      <c r="AE173" s="190" t="s">
        <v>1351</v>
      </c>
      <c r="AF173" s="190" t="s">
        <v>1479</v>
      </c>
      <c r="AG173" s="183"/>
      <c r="AH173" s="174" t="s">
        <v>1568</v>
      </c>
      <c r="AI173" s="176" t="s">
        <v>1579</v>
      </c>
      <c r="AJ173" s="205"/>
      <c r="AK173" s="205"/>
      <c r="AL173" s="205"/>
      <c r="AM173" s="205"/>
      <c r="AN173" s="205"/>
      <c r="AO173" s="174"/>
      <c r="AP173" s="174"/>
      <c r="AQ173" s="174"/>
      <c r="AR173" s="174"/>
      <c r="AS173" s="174"/>
      <c r="AT173" s="174"/>
      <c r="AU173" s="174"/>
      <c r="AV173" s="174"/>
      <c r="AW173" s="176"/>
      <c r="AX173" s="129"/>
      <c r="AY173" s="129"/>
      <c r="AZ173" s="129"/>
      <c r="BA173" s="129"/>
      <c r="BB173" s="129"/>
      <c r="BC173" s="129"/>
      <c r="BD173" s="129"/>
      <c r="BE173" s="129"/>
      <c r="BF173" s="129"/>
    </row>
    <row r="174" spans="1:58" s="37" customFormat="1" ht="25.5" x14ac:dyDescent="0.2">
      <c r="A174" s="174"/>
      <c r="B174" s="174"/>
      <c r="C174" s="174"/>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90" t="s">
        <v>1567</v>
      </c>
      <c r="AA174" s="205"/>
      <c r="AB174" s="205"/>
      <c r="AC174" s="174" t="s">
        <v>605</v>
      </c>
      <c r="AD174" s="174" t="s">
        <v>1530</v>
      </c>
      <c r="AE174" s="190" t="s">
        <v>608</v>
      </c>
      <c r="AF174" s="190" t="s">
        <v>1479</v>
      </c>
      <c r="AG174" s="183" t="s">
        <v>179</v>
      </c>
      <c r="AH174" s="174"/>
      <c r="AI174" s="176" t="s">
        <v>1579</v>
      </c>
      <c r="AJ174" s="205"/>
      <c r="AK174" s="205"/>
      <c r="AL174" s="205"/>
      <c r="AM174" s="205"/>
      <c r="AN174" s="205"/>
      <c r="AO174" s="174"/>
      <c r="AP174" s="174"/>
      <c r="AQ174" s="174"/>
      <c r="AR174" s="174"/>
      <c r="AS174" s="174"/>
      <c r="AT174" s="174"/>
      <c r="AU174" s="174"/>
      <c r="AV174" s="174"/>
      <c r="AW174" s="176"/>
      <c r="AX174" s="129"/>
      <c r="AY174" s="129"/>
      <c r="AZ174" s="129"/>
      <c r="BA174" s="129"/>
      <c r="BB174" s="129"/>
      <c r="BC174" s="129"/>
      <c r="BD174" s="129"/>
      <c r="BE174" s="129"/>
      <c r="BF174" s="129"/>
    </row>
    <row r="175" spans="1:58" s="37" customFormat="1" ht="25.5" x14ac:dyDescent="0.2">
      <c r="A175" s="174"/>
      <c r="B175" s="174"/>
      <c r="C175" s="174"/>
      <c r="D175" s="174"/>
      <c r="E175" s="174"/>
      <c r="F175" s="174"/>
      <c r="G175" s="174"/>
      <c r="H175" s="174"/>
      <c r="I175" s="174"/>
      <c r="J175" s="174"/>
      <c r="K175" s="174"/>
      <c r="L175" s="174"/>
      <c r="M175" s="174"/>
      <c r="N175" s="174"/>
      <c r="O175" s="174"/>
      <c r="P175" s="174"/>
      <c r="Q175" s="174"/>
      <c r="R175" s="174"/>
      <c r="S175" s="174"/>
      <c r="T175" s="174"/>
      <c r="U175" s="174"/>
      <c r="V175" s="174"/>
      <c r="W175" s="174"/>
      <c r="X175" s="174"/>
      <c r="Y175" s="174"/>
      <c r="Z175" s="190" t="s">
        <v>1567</v>
      </c>
      <c r="AA175" s="205"/>
      <c r="AB175" s="205"/>
      <c r="AC175" s="190" t="s">
        <v>1238</v>
      </c>
      <c r="AD175" s="174" t="s">
        <v>1530</v>
      </c>
      <c r="AE175" s="190" t="s">
        <v>1238</v>
      </c>
      <c r="AF175" s="190" t="s">
        <v>1549</v>
      </c>
      <c r="AG175" s="183" t="s">
        <v>1573</v>
      </c>
      <c r="AH175" s="174"/>
      <c r="AI175" s="176" t="s">
        <v>1579</v>
      </c>
      <c r="AJ175" s="205"/>
      <c r="AK175" s="205"/>
      <c r="AL175" s="205"/>
      <c r="AM175" s="205"/>
      <c r="AN175" s="205"/>
      <c r="AO175" s="174"/>
      <c r="AP175" s="174"/>
      <c r="AQ175" s="174"/>
      <c r="AR175" s="174"/>
      <c r="AS175" s="174"/>
      <c r="AT175" s="174"/>
      <c r="AU175" s="174"/>
      <c r="AV175" s="174"/>
      <c r="AW175" s="176"/>
      <c r="AX175" s="129"/>
      <c r="AY175" s="129"/>
      <c r="AZ175" s="129"/>
      <c r="BA175" s="129"/>
      <c r="BB175" s="129"/>
      <c r="BC175" s="129"/>
      <c r="BD175" s="129"/>
      <c r="BE175" s="129"/>
      <c r="BF175" s="129"/>
    </row>
    <row r="176" spans="1:58" ht="25.5" x14ac:dyDescent="0.2">
      <c r="A176" s="174"/>
      <c r="B176" s="174"/>
      <c r="C176" s="174"/>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90" t="s">
        <v>1567</v>
      </c>
      <c r="AA176" s="205"/>
      <c r="AB176" s="205"/>
      <c r="AC176" s="190" t="s">
        <v>1450</v>
      </c>
      <c r="AD176" s="174" t="s">
        <v>1530</v>
      </c>
      <c r="AE176" s="190" t="s">
        <v>1450</v>
      </c>
      <c r="AF176" s="190" t="s">
        <v>1549</v>
      </c>
      <c r="AG176" s="183" t="s">
        <v>179</v>
      </c>
      <c r="AH176" s="174"/>
      <c r="AI176" s="176" t="s">
        <v>1579</v>
      </c>
      <c r="AJ176" s="205"/>
      <c r="AK176" s="205"/>
      <c r="AL176" s="205"/>
      <c r="AM176" s="205"/>
      <c r="AN176" s="205"/>
      <c r="AO176" s="174"/>
      <c r="AP176" s="174"/>
      <c r="AQ176" s="174"/>
      <c r="AR176" s="174"/>
      <c r="AS176" s="174"/>
      <c r="AT176" s="174"/>
      <c r="AU176" s="174"/>
      <c r="AV176" s="174"/>
      <c r="AW176" s="176"/>
      <c r="AX176" s="129"/>
      <c r="AY176" s="129"/>
      <c r="AZ176" s="129"/>
      <c r="BA176" s="129"/>
      <c r="BB176" s="129"/>
      <c r="BC176" s="129"/>
      <c r="BD176" s="129"/>
      <c r="BE176" s="129"/>
      <c r="BF176" s="129"/>
    </row>
    <row r="177" spans="1:58" ht="25.5" x14ac:dyDescent="0.2">
      <c r="A177" s="174"/>
      <c r="B177" s="174"/>
      <c r="C177" s="174"/>
      <c r="D177" s="174"/>
      <c r="E177" s="174"/>
      <c r="F177" s="174"/>
      <c r="G177" s="174"/>
      <c r="H177" s="174"/>
      <c r="I177" s="174"/>
      <c r="J177" s="174"/>
      <c r="K177" s="174"/>
      <c r="L177" s="174"/>
      <c r="M177" s="174"/>
      <c r="N177" s="174"/>
      <c r="O177" s="174"/>
      <c r="P177" s="174"/>
      <c r="Q177" s="174"/>
      <c r="R177" s="174"/>
      <c r="S177" s="174"/>
      <c r="T177" s="174"/>
      <c r="U177" s="174"/>
      <c r="V177" s="174"/>
      <c r="W177" s="174"/>
      <c r="X177" s="174"/>
      <c r="Y177" s="174"/>
      <c r="Z177" s="190" t="s">
        <v>1567</v>
      </c>
      <c r="AA177" s="205"/>
      <c r="AB177" s="205"/>
      <c r="AC177" s="174" t="s">
        <v>1130</v>
      </c>
      <c r="AD177" s="174" t="s">
        <v>1530</v>
      </c>
      <c r="AE177" s="190" t="s">
        <v>1525</v>
      </c>
      <c r="AF177" s="190" t="s">
        <v>1549</v>
      </c>
      <c r="AG177" s="183" t="s">
        <v>1572</v>
      </c>
      <c r="AH177" s="174"/>
      <c r="AI177" s="176" t="s">
        <v>1579</v>
      </c>
      <c r="AJ177" s="205"/>
      <c r="AK177" s="205"/>
      <c r="AL177" s="205"/>
      <c r="AM177" s="205"/>
      <c r="AN177" s="205"/>
      <c r="AO177" s="174"/>
      <c r="AP177" s="174"/>
      <c r="AQ177" s="174"/>
      <c r="AR177" s="174"/>
      <c r="AS177" s="174"/>
      <c r="AT177" s="174"/>
      <c r="AU177" s="174"/>
      <c r="AV177" s="174"/>
      <c r="AW177" s="176"/>
      <c r="AX177" s="129"/>
      <c r="AY177" s="129"/>
      <c r="AZ177" s="129"/>
      <c r="BA177" s="129"/>
      <c r="BB177" s="129"/>
      <c r="BC177" s="129"/>
      <c r="BD177" s="129"/>
      <c r="BE177" s="129"/>
      <c r="BF177" s="129"/>
    </row>
    <row r="178" spans="1:58" ht="25.5" x14ac:dyDescent="0.2">
      <c r="A178" s="174"/>
      <c r="B178" s="174"/>
      <c r="C178" s="174"/>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90" t="s">
        <v>1567</v>
      </c>
      <c r="AA178" s="205"/>
      <c r="AB178" s="205"/>
      <c r="AC178" s="174" t="s">
        <v>606</v>
      </c>
      <c r="AD178" s="174" t="s">
        <v>1530</v>
      </c>
      <c r="AE178" s="190" t="s">
        <v>525</v>
      </c>
      <c r="AF178" s="190" t="s">
        <v>1479</v>
      </c>
      <c r="AG178" s="183" t="s">
        <v>179</v>
      </c>
      <c r="AH178" s="174"/>
      <c r="AI178" s="176" t="s">
        <v>1579</v>
      </c>
      <c r="AJ178" s="205"/>
      <c r="AK178" s="205"/>
      <c r="AL178" s="205"/>
      <c r="AM178" s="205"/>
      <c r="AN178" s="205"/>
      <c r="AO178" s="174"/>
      <c r="AP178" s="174"/>
      <c r="AQ178" s="174"/>
      <c r="AR178" s="174"/>
      <c r="AS178" s="174"/>
      <c r="AT178" s="174"/>
      <c r="AU178" s="174"/>
      <c r="AV178" s="174"/>
      <c r="AW178" s="176"/>
      <c r="AX178" s="129"/>
      <c r="AY178" s="129"/>
      <c r="AZ178" s="129"/>
      <c r="BA178" s="129"/>
      <c r="BB178" s="129"/>
      <c r="BC178" s="129"/>
      <c r="BD178" s="129"/>
      <c r="BE178" s="129"/>
      <c r="BF178" s="129"/>
    </row>
    <row r="179" spans="1:58" ht="25.5" x14ac:dyDescent="0.2">
      <c r="A179" s="174"/>
      <c r="B179" s="174"/>
      <c r="C179" s="174"/>
      <c r="D179" s="174"/>
      <c r="E179" s="174"/>
      <c r="F179" s="174"/>
      <c r="G179" s="174"/>
      <c r="H179" s="174"/>
      <c r="I179" s="174"/>
      <c r="J179" s="174"/>
      <c r="K179" s="174"/>
      <c r="L179" s="174"/>
      <c r="M179" s="174"/>
      <c r="N179" s="174"/>
      <c r="O179" s="174"/>
      <c r="P179" s="174"/>
      <c r="Q179" s="174"/>
      <c r="R179" s="174"/>
      <c r="S179" s="174"/>
      <c r="T179" s="174"/>
      <c r="U179" s="174"/>
      <c r="V179" s="174"/>
      <c r="W179" s="174"/>
      <c r="X179" s="174"/>
      <c r="Y179" s="174"/>
      <c r="Z179" s="190" t="s">
        <v>1567</v>
      </c>
      <c r="AA179" s="205"/>
      <c r="AB179" s="205"/>
      <c r="AC179" s="174" t="s">
        <v>1329</v>
      </c>
      <c r="AD179" s="174" t="s">
        <v>1530</v>
      </c>
      <c r="AE179" s="190" t="s">
        <v>1526</v>
      </c>
      <c r="AF179" s="190" t="s">
        <v>1549</v>
      </c>
      <c r="AG179" s="183" t="s">
        <v>1572</v>
      </c>
      <c r="AH179" s="174"/>
      <c r="AI179" s="176" t="s">
        <v>1579</v>
      </c>
      <c r="AJ179" s="205"/>
      <c r="AK179" s="205"/>
      <c r="AL179" s="205"/>
      <c r="AM179" s="205"/>
      <c r="AN179" s="205"/>
      <c r="AO179" s="174"/>
      <c r="AP179" s="174"/>
      <c r="AQ179" s="174"/>
      <c r="AR179" s="174"/>
      <c r="AS179" s="174"/>
      <c r="AT179" s="174"/>
      <c r="AU179" s="174"/>
      <c r="AV179" s="174"/>
      <c r="AW179" s="176"/>
      <c r="AX179" s="129"/>
      <c r="AY179" s="129"/>
      <c r="AZ179" s="129"/>
      <c r="BA179" s="129"/>
      <c r="BB179" s="129"/>
      <c r="BC179" s="129"/>
      <c r="BD179" s="129"/>
      <c r="BE179" s="129"/>
      <c r="BF179" s="129"/>
    </row>
    <row r="180" spans="1:58" ht="25.5" x14ac:dyDescent="0.2">
      <c r="A180" s="174"/>
      <c r="B180" s="174"/>
      <c r="C180" s="174"/>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90" t="s">
        <v>1567</v>
      </c>
      <c r="AA180" s="205"/>
      <c r="AB180" s="205"/>
      <c r="AC180" s="174" t="s">
        <v>1103</v>
      </c>
      <c r="AD180" s="174" t="s">
        <v>1530</v>
      </c>
      <c r="AE180" s="190" t="s">
        <v>1528</v>
      </c>
      <c r="AF180" s="190" t="s">
        <v>1479</v>
      </c>
      <c r="AG180" s="183" t="s">
        <v>1572</v>
      </c>
      <c r="AH180" s="174"/>
      <c r="AI180" s="176" t="s">
        <v>1579</v>
      </c>
      <c r="AJ180" s="205"/>
      <c r="AK180" s="205"/>
      <c r="AL180" s="205"/>
      <c r="AM180" s="205"/>
      <c r="AN180" s="205"/>
      <c r="AO180" s="174"/>
      <c r="AP180" s="174"/>
      <c r="AQ180" s="174"/>
      <c r="AR180" s="174"/>
      <c r="AS180" s="174"/>
      <c r="AT180" s="174"/>
      <c r="AU180" s="174"/>
      <c r="AV180" s="174"/>
      <c r="AW180" s="176"/>
      <c r="AX180" s="129"/>
      <c r="AY180" s="129"/>
      <c r="AZ180" s="129"/>
      <c r="BA180" s="129"/>
      <c r="BB180" s="129"/>
      <c r="BC180" s="129"/>
      <c r="BD180" s="129"/>
      <c r="BE180" s="129"/>
      <c r="BF180" s="129"/>
    </row>
    <row r="181" spans="1:58" ht="25.5" x14ac:dyDescent="0.2">
      <c r="A181" s="174"/>
      <c r="B181" s="174"/>
      <c r="C181" s="174"/>
      <c r="D181" s="174"/>
      <c r="E181" s="174"/>
      <c r="F181" s="174"/>
      <c r="G181" s="174"/>
      <c r="H181" s="174"/>
      <c r="I181" s="174"/>
      <c r="J181" s="174"/>
      <c r="K181" s="174"/>
      <c r="L181" s="174"/>
      <c r="M181" s="174"/>
      <c r="N181" s="174"/>
      <c r="O181" s="174"/>
      <c r="P181" s="174"/>
      <c r="Q181" s="174"/>
      <c r="R181" s="174"/>
      <c r="S181" s="174"/>
      <c r="T181" s="174"/>
      <c r="U181" s="174"/>
      <c r="V181" s="174"/>
      <c r="W181" s="174"/>
      <c r="X181" s="174"/>
      <c r="Y181" s="174"/>
      <c r="Z181" s="190" t="s">
        <v>1567</v>
      </c>
      <c r="AA181" s="205"/>
      <c r="AB181" s="205"/>
      <c r="AC181" s="174" t="s">
        <v>1330</v>
      </c>
      <c r="AD181" s="174" t="s">
        <v>1530</v>
      </c>
      <c r="AE181" s="190" t="s">
        <v>1080</v>
      </c>
      <c r="AF181" s="190" t="s">
        <v>1479</v>
      </c>
      <c r="AG181" s="183" t="s">
        <v>179</v>
      </c>
      <c r="AH181" s="174"/>
      <c r="AI181" s="176" t="s">
        <v>1579</v>
      </c>
      <c r="AJ181" s="205"/>
      <c r="AK181" s="205"/>
      <c r="AL181" s="205"/>
      <c r="AM181" s="205"/>
      <c r="AN181" s="205"/>
      <c r="AO181" s="174"/>
      <c r="AP181" s="174"/>
      <c r="AQ181" s="174"/>
      <c r="AR181" s="174"/>
      <c r="AS181" s="174"/>
      <c r="AT181" s="174"/>
      <c r="AU181" s="174"/>
      <c r="AV181" s="174"/>
      <c r="AW181" s="176"/>
      <c r="AX181" s="129"/>
      <c r="AY181" s="129"/>
      <c r="AZ181" s="129"/>
      <c r="BA181" s="129"/>
      <c r="BB181" s="129"/>
      <c r="BC181" s="129"/>
      <c r="BD181" s="129"/>
      <c r="BE181" s="129"/>
      <c r="BF181" s="129"/>
    </row>
    <row r="182" spans="1:58" s="129" customFormat="1" ht="25.5" x14ac:dyDescent="0.2">
      <c r="A182" s="174"/>
      <c r="B182" s="174"/>
      <c r="C182" s="174"/>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90" t="s">
        <v>1567</v>
      </c>
      <c r="AA182" s="205"/>
      <c r="AB182" s="205"/>
      <c r="AC182" s="174" t="s">
        <v>1020</v>
      </c>
      <c r="AD182" s="174" t="s">
        <v>1530</v>
      </c>
      <c r="AE182" s="190" t="s">
        <v>1332</v>
      </c>
      <c r="AF182" s="190" t="s">
        <v>1479</v>
      </c>
      <c r="AG182" s="183" t="s">
        <v>179</v>
      </c>
      <c r="AH182" s="174"/>
      <c r="AI182" s="176" t="s">
        <v>1579</v>
      </c>
      <c r="AJ182" s="205"/>
      <c r="AK182" s="205"/>
      <c r="AL182" s="205"/>
      <c r="AM182" s="205"/>
      <c r="AN182" s="205"/>
      <c r="AO182" s="174"/>
      <c r="AP182" s="174"/>
      <c r="AQ182" s="174"/>
      <c r="AR182" s="174"/>
      <c r="AS182" s="174"/>
      <c r="AT182" s="174"/>
      <c r="AU182" s="174"/>
      <c r="AV182" s="174"/>
      <c r="AW182" s="176"/>
    </row>
    <row r="183" spans="1:58" ht="25.5" x14ac:dyDescent="0.2">
      <c r="A183" s="213"/>
      <c r="B183" s="213"/>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t="s">
        <v>1567</v>
      </c>
      <c r="AA183" s="205"/>
      <c r="AB183" s="205"/>
      <c r="AC183" s="213" t="s">
        <v>925</v>
      </c>
      <c r="AD183" s="174" t="s">
        <v>1530</v>
      </c>
      <c r="AE183" s="183" t="s">
        <v>1524</v>
      </c>
      <c r="AF183" s="190" t="s">
        <v>1479</v>
      </c>
      <c r="AG183" s="213"/>
      <c r="AH183" s="213" t="s">
        <v>1571</v>
      </c>
      <c r="AI183" s="176" t="s">
        <v>1579</v>
      </c>
      <c r="AJ183" s="205"/>
      <c r="AK183" s="205"/>
      <c r="AL183" s="205"/>
      <c r="AM183" s="205"/>
      <c r="AN183" s="205"/>
      <c r="AO183" s="183"/>
      <c r="AP183" s="183"/>
      <c r="AQ183" s="183"/>
      <c r="AR183" s="183"/>
      <c r="AS183" s="183"/>
      <c r="AT183" s="183"/>
      <c r="AU183" s="183"/>
      <c r="AV183" s="183"/>
      <c r="AW183" s="185"/>
    </row>
    <row r="184" spans="1:58" ht="25.5" x14ac:dyDescent="0.2">
      <c r="A184" s="213"/>
      <c r="B184" s="213"/>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t="s">
        <v>1567</v>
      </c>
      <c r="AA184" s="205"/>
      <c r="AB184" s="205"/>
      <c r="AC184" s="213" t="s">
        <v>925</v>
      </c>
      <c r="AD184" s="174" t="s">
        <v>1530</v>
      </c>
      <c r="AE184" s="190" t="s">
        <v>1527</v>
      </c>
      <c r="AF184" s="190" t="s">
        <v>1479</v>
      </c>
      <c r="AG184" s="213"/>
      <c r="AH184" s="213" t="s">
        <v>1569</v>
      </c>
      <c r="AI184" s="176" t="s">
        <v>1579</v>
      </c>
      <c r="AJ184" s="205"/>
      <c r="AK184" s="205"/>
      <c r="AL184" s="205"/>
      <c r="AM184" s="205"/>
      <c r="AN184" s="205"/>
      <c r="AO184" s="183"/>
      <c r="AP184" s="183"/>
      <c r="AQ184" s="183"/>
      <c r="AR184" s="183"/>
      <c r="AS184" s="183"/>
      <c r="AT184" s="183"/>
      <c r="AU184" s="183"/>
      <c r="AV184" s="183"/>
      <c r="AW184" s="185"/>
    </row>
    <row r="185" spans="1:58" ht="25.5" x14ac:dyDescent="0.2">
      <c r="A185" s="213"/>
      <c r="B185" s="213"/>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t="s">
        <v>1567</v>
      </c>
      <c r="AA185" s="205"/>
      <c r="AB185" s="205"/>
      <c r="AC185" s="213" t="s">
        <v>925</v>
      </c>
      <c r="AD185" s="174" t="s">
        <v>1530</v>
      </c>
      <c r="AE185" s="190" t="s">
        <v>1529</v>
      </c>
      <c r="AF185" s="190" t="s">
        <v>1549</v>
      </c>
      <c r="AG185" s="213"/>
      <c r="AH185" s="213" t="s">
        <v>1570</v>
      </c>
      <c r="AI185" s="176" t="s">
        <v>1579</v>
      </c>
      <c r="AJ185" s="205"/>
      <c r="AK185" s="205"/>
      <c r="AL185" s="205"/>
      <c r="AM185" s="205"/>
      <c r="AN185" s="205"/>
      <c r="AO185" s="183"/>
      <c r="AP185" s="183"/>
      <c r="AQ185" s="183"/>
      <c r="AR185" s="183"/>
      <c r="AS185" s="183"/>
      <c r="AT185" s="183"/>
      <c r="AU185" s="183"/>
      <c r="AV185" s="183"/>
      <c r="AW185" s="185"/>
    </row>
    <row r="186" spans="1:58" ht="25.5" x14ac:dyDescent="0.2">
      <c r="A186" s="171" t="s">
        <v>1416</v>
      </c>
      <c r="B186" s="171" t="s">
        <v>601</v>
      </c>
      <c r="C186" s="171" t="s">
        <v>507</v>
      </c>
      <c r="D186" s="172" t="s">
        <v>345</v>
      </c>
      <c r="E186" s="171" t="s">
        <v>10</v>
      </c>
      <c r="F186" s="171"/>
      <c r="G186" s="172" t="s">
        <v>188</v>
      </c>
      <c r="H186" s="172" t="s">
        <v>253</v>
      </c>
      <c r="I186" s="172" t="s">
        <v>594</v>
      </c>
      <c r="J186" s="172" t="s">
        <v>650</v>
      </c>
      <c r="K186" s="171" t="s">
        <v>380</v>
      </c>
      <c r="L186" s="172" t="s">
        <v>419</v>
      </c>
      <c r="M186" s="172" t="s">
        <v>188</v>
      </c>
      <c r="N186" s="172" t="s">
        <v>341</v>
      </c>
      <c r="O186" s="172" t="s">
        <v>548</v>
      </c>
      <c r="P186" s="178">
        <v>44278</v>
      </c>
      <c r="Q186" s="171" t="s">
        <v>380</v>
      </c>
      <c r="R186" s="171" t="s">
        <v>380</v>
      </c>
      <c r="S186" s="172"/>
      <c r="T186" s="171" t="s">
        <v>1206</v>
      </c>
      <c r="U186" s="171" t="s">
        <v>1210</v>
      </c>
      <c r="V186" s="171" t="s">
        <v>380</v>
      </c>
      <c r="W186" s="171"/>
      <c r="X186" s="171" t="s">
        <v>1383</v>
      </c>
      <c r="Y186" s="171" t="s">
        <v>1168</v>
      </c>
      <c r="Z186" s="174" t="s">
        <v>1151</v>
      </c>
      <c r="AA186" s="175" t="s">
        <v>380</v>
      </c>
      <c r="AB186" s="175" t="s">
        <v>742</v>
      </c>
      <c r="AC186" s="174" t="s">
        <v>380</v>
      </c>
      <c r="AD186" s="174" t="s">
        <v>742</v>
      </c>
      <c r="AE186" s="174" t="s">
        <v>380</v>
      </c>
      <c r="AF186" s="174" t="s">
        <v>1549</v>
      </c>
      <c r="AG186" s="174" t="s">
        <v>188</v>
      </c>
      <c r="AH186" s="174"/>
      <c r="AI186" s="186" t="s">
        <v>968</v>
      </c>
      <c r="AJ186" s="177" t="s">
        <v>742</v>
      </c>
      <c r="AK186" s="177" t="s">
        <v>1370</v>
      </c>
      <c r="AL186" s="177"/>
      <c r="AM186" s="177"/>
      <c r="AN186" s="193" t="s">
        <v>968</v>
      </c>
      <c r="AO186" s="174"/>
      <c r="AP186" s="174"/>
      <c r="AQ186" s="174"/>
      <c r="AR186" s="174"/>
      <c r="AS186" s="174"/>
      <c r="AT186" s="174"/>
      <c r="AU186" s="174"/>
      <c r="AV186" s="174"/>
      <c r="AW186" s="176"/>
    </row>
    <row r="187" spans="1:58" s="147" customFormat="1" ht="38.25" x14ac:dyDescent="0.2">
      <c r="A187" s="171" t="s">
        <v>1416</v>
      </c>
      <c r="B187" s="171" t="s">
        <v>601</v>
      </c>
      <c r="C187" s="171" t="s">
        <v>507</v>
      </c>
      <c r="D187" s="172" t="s">
        <v>345</v>
      </c>
      <c r="E187" s="172" t="s">
        <v>169</v>
      </c>
      <c r="F187" s="172"/>
      <c r="G187" s="172" t="s">
        <v>164</v>
      </c>
      <c r="H187" s="197">
        <v>0.5</v>
      </c>
      <c r="I187" s="172" t="s">
        <v>594</v>
      </c>
      <c r="J187" s="172" t="s">
        <v>650</v>
      </c>
      <c r="K187" s="171" t="s">
        <v>400</v>
      </c>
      <c r="L187" s="172" t="s">
        <v>404</v>
      </c>
      <c r="M187" s="172" t="s">
        <v>164</v>
      </c>
      <c r="N187" s="172" t="s">
        <v>421</v>
      </c>
      <c r="O187" s="172" t="s">
        <v>549</v>
      </c>
      <c r="P187" s="178">
        <v>44278</v>
      </c>
      <c r="Q187" s="171" t="s">
        <v>400</v>
      </c>
      <c r="R187" s="171" t="s">
        <v>400</v>
      </c>
      <c r="S187" s="172"/>
      <c r="T187" s="171" t="s">
        <v>1206</v>
      </c>
      <c r="U187" s="171" t="s">
        <v>1210</v>
      </c>
      <c r="V187" s="171" t="s">
        <v>969</v>
      </c>
      <c r="W187" s="171"/>
      <c r="X187" s="171" t="s">
        <v>1383</v>
      </c>
      <c r="Y187" s="171" t="s">
        <v>1168</v>
      </c>
      <c r="Z187" s="174" t="s">
        <v>1151</v>
      </c>
      <c r="AA187" s="175" t="s">
        <v>400</v>
      </c>
      <c r="AB187" s="175" t="s">
        <v>742</v>
      </c>
      <c r="AC187" s="174" t="s">
        <v>969</v>
      </c>
      <c r="AD187" s="174" t="s">
        <v>742</v>
      </c>
      <c r="AE187" s="174" t="s">
        <v>1468</v>
      </c>
      <c r="AF187" s="174" t="s">
        <v>1479</v>
      </c>
      <c r="AG187" s="174" t="s">
        <v>164</v>
      </c>
      <c r="AH187" s="174"/>
      <c r="AI187" s="176" t="s">
        <v>963</v>
      </c>
      <c r="AJ187" s="177" t="s">
        <v>742</v>
      </c>
      <c r="AK187" s="177" t="s">
        <v>404</v>
      </c>
      <c r="AL187" s="177"/>
      <c r="AM187" s="177">
        <f>SUBTOTAL(9,H187:Y187)</f>
        <v>44278.5</v>
      </c>
      <c r="AN187" s="177" t="s">
        <v>963</v>
      </c>
      <c r="AO187" s="174"/>
      <c r="AP187" s="174"/>
      <c r="AQ187" s="174"/>
      <c r="AR187" s="174"/>
      <c r="AS187" s="174"/>
      <c r="AT187" s="174"/>
      <c r="AU187" s="174"/>
      <c r="AV187" s="174"/>
      <c r="AW187" s="176"/>
      <c r="AX187" s="130"/>
      <c r="AY187" s="130"/>
      <c r="AZ187" s="130"/>
      <c r="BA187" s="130"/>
      <c r="BB187" s="130"/>
      <c r="BC187" s="130"/>
      <c r="BD187" s="130"/>
      <c r="BE187" s="130"/>
      <c r="BF187" s="130"/>
    </row>
    <row r="188" spans="1:58" s="129" customFormat="1" x14ac:dyDescent="0.2">
      <c r="A188" s="171" t="s">
        <v>1416</v>
      </c>
      <c r="B188" s="171" t="s">
        <v>601</v>
      </c>
      <c r="C188" s="171" t="s">
        <v>507</v>
      </c>
      <c r="D188" s="172" t="s">
        <v>345</v>
      </c>
      <c r="E188" s="172" t="s">
        <v>171</v>
      </c>
      <c r="F188" s="172"/>
      <c r="G188" s="172" t="s">
        <v>164</v>
      </c>
      <c r="H188" s="197">
        <v>0</v>
      </c>
      <c r="I188" s="172" t="s">
        <v>594</v>
      </c>
      <c r="J188" s="172" t="s">
        <v>650</v>
      </c>
      <c r="K188" s="171" t="s">
        <v>401</v>
      </c>
      <c r="L188" s="172" t="s">
        <v>405</v>
      </c>
      <c r="M188" s="172" t="s">
        <v>164</v>
      </c>
      <c r="N188" s="172" t="s">
        <v>422</v>
      </c>
      <c r="O188" s="172"/>
      <c r="P188" s="178">
        <v>44278</v>
      </c>
      <c r="Q188" s="171" t="s">
        <v>401</v>
      </c>
      <c r="R188" s="171" t="s">
        <v>401</v>
      </c>
      <c r="S188" s="172"/>
      <c r="T188" s="171" t="s">
        <v>1206</v>
      </c>
      <c r="U188" s="171" t="s">
        <v>1210</v>
      </c>
      <c r="V188" s="171" t="s">
        <v>970</v>
      </c>
      <c r="W188" s="171"/>
      <c r="X188" s="171" t="s">
        <v>1383</v>
      </c>
      <c r="Y188" s="171" t="s">
        <v>1168</v>
      </c>
      <c r="Z188" s="174" t="s">
        <v>1151</v>
      </c>
      <c r="AA188" s="175" t="s">
        <v>401</v>
      </c>
      <c r="AB188" s="175" t="s">
        <v>742</v>
      </c>
      <c r="AC188" s="174" t="s">
        <v>970</v>
      </c>
      <c r="AD188" s="174" t="s">
        <v>742</v>
      </c>
      <c r="AE188" s="174" t="s">
        <v>1469</v>
      </c>
      <c r="AF188" s="174" t="s">
        <v>1479</v>
      </c>
      <c r="AG188" s="174" t="s">
        <v>164</v>
      </c>
      <c r="AH188" s="174"/>
      <c r="AI188" s="176" t="s">
        <v>963</v>
      </c>
      <c r="AJ188" s="177" t="s">
        <v>742</v>
      </c>
      <c r="AK188" s="177" t="s">
        <v>405</v>
      </c>
      <c r="AL188" s="177"/>
      <c r="AM188" s="177">
        <f>SUBTOTAL(9,H188:Y188)</f>
        <v>44278</v>
      </c>
      <c r="AN188" s="177" t="s">
        <v>963</v>
      </c>
      <c r="AO188" s="174"/>
      <c r="AP188" s="174"/>
      <c r="AQ188" s="174"/>
      <c r="AR188" s="174"/>
      <c r="AS188" s="174"/>
      <c r="AT188" s="174"/>
      <c r="AU188" s="174"/>
      <c r="AV188" s="174"/>
      <c r="AW188" s="176"/>
      <c r="AX188" s="130"/>
      <c r="AY188" s="130"/>
      <c r="AZ188" s="130"/>
      <c r="BA188" s="130"/>
      <c r="BB188" s="130"/>
      <c r="BC188" s="130"/>
      <c r="BD188" s="130"/>
      <c r="BE188" s="130"/>
      <c r="BF188" s="130"/>
    </row>
    <row r="189" spans="1:58" s="129" customFormat="1" x14ac:dyDescent="0.2">
      <c r="A189" s="171" t="s">
        <v>1416</v>
      </c>
      <c r="B189" s="171" t="s">
        <v>601</v>
      </c>
      <c r="C189" s="171" t="s">
        <v>507</v>
      </c>
      <c r="D189" s="172" t="s">
        <v>345</v>
      </c>
      <c r="E189" s="172" t="s">
        <v>173</v>
      </c>
      <c r="F189" s="172"/>
      <c r="G189" s="172" t="s">
        <v>164</v>
      </c>
      <c r="H189" s="197">
        <v>0</v>
      </c>
      <c r="I189" s="172" t="s">
        <v>594</v>
      </c>
      <c r="J189" s="172" t="s">
        <v>650</v>
      </c>
      <c r="K189" s="171" t="s">
        <v>402</v>
      </c>
      <c r="L189" s="172" t="s">
        <v>406</v>
      </c>
      <c r="M189" s="172" t="s">
        <v>164</v>
      </c>
      <c r="N189" s="172" t="s">
        <v>423</v>
      </c>
      <c r="O189" s="172"/>
      <c r="P189" s="178">
        <v>44278</v>
      </c>
      <c r="Q189" s="171" t="s">
        <v>402</v>
      </c>
      <c r="R189" s="171" t="s">
        <v>402</v>
      </c>
      <c r="S189" s="172"/>
      <c r="T189" s="171" t="s">
        <v>1206</v>
      </c>
      <c r="U189" s="171" t="s">
        <v>1210</v>
      </c>
      <c r="V189" s="171" t="s">
        <v>971</v>
      </c>
      <c r="W189" s="171"/>
      <c r="X189" s="171" t="s">
        <v>1383</v>
      </c>
      <c r="Y189" s="171" t="s">
        <v>1168</v>
      </c>
      <c r="Z189" s="174" t="s">
        <v>1151</v>
      </c>
      <c r="AA189" s="175" t="s">
        <v>402</v>
      </c>
      <c r="AB189" s="175" t="s">
        <v>742</v>
      </c>
      <c r="AC189" s="174" t="s">
        <v>971</v>
      </c>
      <c r="AD189" s="174" t="s">
        <v>742</v>
      </c>
      <c r="AE189" s="174" t="s">
        <v>1470</v>
      </c>
      <c r="AF189" s="174" t="s">
        <v>1479</v>
      </c>
      <c r="AG189" s="174" t="s">
        <v>164</v>
      </c>
      <c r="AH189" s="174"/>
      <c r="AI189" s="176" t="s">
        <v>963</v>
      </c>
      <c r="AJ189" s="177" t="s">
        <v>742</v>
      </c>
      <c r="AK189" s="177" t="s">
        <v>406</v>
      </c>
      <c r="AL189" s="177"/>
      <c r="AM189" s="177">
        <f>SUBTOTAL(9,H189:Y189)</f>
        <v>44278</v>
      </c>
      <c r="AN189" s="177" t="s">
        <v>963</v>
      </c>
      <c r="AO189" s="174"/>
      <c r="AP189" s="174"/>
      <c r="AQ189" s="174"/>
      <c r="AR189" s="174"/>
      <c r="AS189" s="174"/>
      <c r="AT189" s="174"/>
      <c r="AU189" s="174"/>
      <c r="AV189" s="174"/>
      <c r="AW189" s="176"/>
      <c r="AX189" s="183"/>
      <c r="AY189" s="183"/>
      <c r="AZ189" s="183"/>
      <c r="BA189" s="183"/>
      <c r="BB189" s="183"/>
      <c r="BC189" s="183"/>
      <c r="BD189" s="183"/>
      <c r="BE189" s="130"/>
      <c r="BF189" s="130"/>
    </row>
    <row r="190" spans="1:58" s="129" customFormat="1" x14ac:dyDescent="0.2">
      <c r="A190" s="171" t="s">
        <v>1416</v>
      </c>
      <c r="B190" s="171" t="s">
        <v>601</v>
      </c>
      <c r="C190" s="171" t="s">
        <v>507</v>
      </c>
      <c r="D190" s="172" t="s">
        <v>345</v>
      </c>
      <c r="E190" s="172" t="s">
        <v>175</v>
      </c>
      <c r="F190" s="172"/>
      <c r="G190" s="172" t="s">
        <v>164</v>
      </c>
      <c r="H190" s="197">
        <v>0</v>
      </c>
      <c r="I190" s="172" t="s">
        <v>594</v>
      </c>
      <c r="J190" s="172" t="s">
        <v>650</v>
      </c>
      <c r="K190" s="171" t="s">
        <v>403</v>
      </c>
      <c r="L190" s="172" t="s">
        <v>407</v>
      </c>
      <c r="M190" s="172" t="s">
        <v>164</v>
      </c>
      <c r="N190" s="172" t="s">
        <v>424</v>
      </c>
      <c r="O190" s="172"/>
      <c r="P190" s="178">
        <v>44278</v>
      </c>
      <c r="Q190" s="171" t="s">
        <v>403</v>
      </c>
      <c r="R190" s="171" t="s">
        <v>403</v>
      </c>
      <c r="S190" s="172"/>
      <c r="T190" s="171" t="s">
        <v>1206</v>
      </c>
      <c r="U190" s="171" t="s">
        <v>1210</v>
      </c>
      <c r="V190" s="171" t="s">
        <v>972</v>
      </c>
      <c r="W190" s="171"/>
      <c r="X190" s="171" t="s">
        <v>1383</v>
      </c>
      <c r="Y190" s="171" t="s">
        <v>1168</v>
      </c>
      <c r="Z190" s="174" t="s">
        <v>1151</v>
      </c>
      <c r="AA190" s="175" t="s">
        <v>403</v>
      </c>
      <c r="AB190" s="175" t="s">
        <v>742</v>
      </c>
      <c r="AC190" s="174" t="s">
        <v>972</v>
      </c>
      <c r="AD190" s="174" t="s">
        <v>742</v>
      </c>
      <c r="AE190" s="174" t="s">
        <v>1471</v>
      </c>
      <c r="AF190" s="174" t="s">
        <v>1479</v>
      </c>
      <c r="AG190" s="174" t="s">
        <v>164</v>
      </c>
      <c r="AH190" s="174"/>
      <c r="AI190" s="176" t="s">
        <v>963</v>
      </c>
      <c r="AJ190" s="177" t="s">
        <v>742</v>
      </c>
      <c r="AK190" s="177" t="s">
        <v>407</v>
      </c>
      <c r="AL190" s="177"/>
      <c r="AM190" s="177">
        <f>SUBTOTAL(9,H190:Y190)</f>
        <v>44278</v>
      </c>
      <c r="AN190" s="177" t="s">
        <v>963</v>
      </c>
      <c r="AO190" s="174"/>
      <c r="AP190" s="174"/>
      <c r="AQ190" s="174"/>
      <c r="AR190" s="174"/>
      <c r="AS190" s="174"/>
      <c r="AT190" s="174"/>
      <c r="AU190" s="174"/>
      <c r="AV190" s="174"/>
      <c r="AW190" s="176"/>
      <c r="AX190" s="130"/>
      <c r="AY190" s="130"/>
      <c r="AZ190" s="130"/>
      <c r="BA190" s="130"/>
      <c r="BB190" s="130"/>
      <c r="BC190" s="130"/>
      <c r="BD190" s="130"/>
      <c r="BE190" s="130"/>
      <c r="BF190" s="130"/>
    </row>
    <row r="191" spans="1:58" s="129" customFormat="1" ht="25.5" x14ac:dyDescent="0.2">
      <c r="A191" s="180" t="s">
        <v>1416</v>
      </c>
      <c r="B191" s="180" t="s">
        <v>601</v>
      </c>
      <c r="C191" s="180" t="s">
        <v>507</v>
      </c>
      <c r="D191" s="181" t="s">
        <v>345</v>
      </c>
      <c r="E191" s="181" t="s">
        <v>168</v>
      </c>
      <c r="F191" s="181"/>
      <c r="G191" s="181" t="s">
        <v>157</v>
      </c>
      <c r="H191" s="181"/>
      <c r="I191" s="181" t="s">
        <v>594</v>
      </c>
      <c r="J191" s="181" t="s">
        <v>650</v>
      </c>
      <c r="K191" s="180" t="s">
        <v>168</v>
      </c>
      <c r="L191" s="181" t="s">
        <v>410</v>
      </c>
      <c r="M191" s="181" t="s">
        <v>157</v>
      </c>
      <c r="N191" s="181" t="s">
        <v>373</v>
      </c>
      <c r="O191" s="181"/>
      <c r="P191" s="194">
        <v>44278</v>
      </c>
      <c r="Q191" s="195" t="str">
        <f>K191</f>
        <v>breakType</v>
      </c>
      <c r="R191" s="195"/>
      <c r="S191" s="196"/>
      <c r="T191" s="180" t="s">
        <v>1206</v>
      </c>
      <c r="U191" s="180" t="s">
        <v>1210</v>
      </c>
      <c r="V191" s="180" t="s">
        <v>168</v>
      </c>
      <c r="W191" s="180"/>
      <c r="X191" s="180" t="s">
        <v>1383</v>
      </c>
      <c r="Y191" s="180" t="s">
        <v>1168</v>
      </c>
      <c r="Z191" s="183" t="s">
        <v>1151</v>
      </c>
      <c r="AA191" s="175" t="s">
        <v>168</v>
      </c>
      <c r="AB191" s="175" t="s">
        <v>742</v>
      </c>
      <c r="AC191" s="183" t="s">
        <v>168</v>
      </c>
      <c r="AD191" s="183" t="s">
        <v>742</v>
      </c>
      <c r="AE191" s="183" t="s">
        <v>168</v>
      </c>
      <c r="AF191" s="183" t="s">
        <v>1549</v>
      </c>
      <c r="AG191" s="183" t="s">
        <v>157</v>
      </c>
      <c r="AH191" s="183"/>
      <c r="AI191" s="185" t="s">
        <v>963</v>
      </c>
      <c r="AJ191" s="177" t="s">
        <v>742</v>
      </c>
      <c r="AK191" s="177" t="s">
        <v>410</v>
      </c>
      <c r="AL191" s="177"/>
      <c r="AM191" s="177"/>
      <c r="AN191" s="177" t="s">
        <v>963</v>
      </c>
      <c r="AO191" s="183"/>
      <c r="AP191" s="183"/>
      <c r="AQ191" s="183"/>
      <c r="AR191" s="183"/>
      <c r="AS191" s="183"/>
      <c r="AT191" s="183"/>
      <c r="AU191" s="183"/>
      <c r="AV191" s="183"/>
      <c r="AW191" s="185"/>
      <c r="AX191" s="130"/>
      <c r="AY191" s="130"/>
      <c r="AZ191" s="130"/>
      <c r="BA191" s="130"/>
      <c r="BB191" s="130"/>
      <c r="BC191" s="183"/>
      <c r="BD191" s="130"/>
      <c r="BE191" s="130"/>
      <c r="BF191" s="130"/>
    </row>
    <row r="192" spans="1:58" s="129" customFormat="1" ht="25.5" x14ac:dyDescent="0.2">
      <c r="A192" s="180" t="s">
        <v>1416</v>
      </c>
      <c r="B192" s="180" t="s">
        <v>601</v>
      </c>
      <c r="C192" s="180" t="s">
        <v>507</v>
      </c>
      <c r="D192" s="181" t="s">
        <v>345</v>
      </c>
      <c r="E192" s="181" t="s">
        <v>17</v>
      </c>
      <c r="F192" s="181"/>
      <c r="G192" s="181" t="s">
        <v>179</v>
      </c>
      <c r="H192" s="181"/>
      <c r="I192" s="181" t="s">
        <v>594</v>
      </c>
      <c r="J192" s="181" t="s">
        <v>650</v>
      </c>
      <c r="K192" s="180" t="s">
        <v>559</v>
      </c>
      <c r="L192" s="181" t="s">
        <v>377</v>
      </c>
      <c r="M192" s="181" t="s">
        <v>179</v>
      </c>
      <c r="N192" s="181" t="s">
        <v>371</v>
      </c>
      <c r="O192" s="181" t="s">
        <v>547</v>
      </c>
      <c r="P192" s="194">
        <v>44278</v>
      </c>
      <c r="Q192" s="180" t="s">
        <v>559</v>
      </c>
      <c r="R192" s="180" t="s">
        <v>559</v>
      </c>
      <c r="S192" s="181"/>
      <c r="T192" s="180" t="s">
        <v>1206</v>
      </c>
      <c r="U192" s="180" t="s">
        <v>1210</v>
      </c>
      <c r="V192" s="180" t="s">
        <v>982</v>
      </c>
      <c r="W192" s="180"/>
      <c r="X192" s="180" t="s">
        <v>1383</v>
      </c>
      <c r="Y192" s="180" t="s">
        <v>1168</v>
      </c>
      <c r="Z192" s="183" t="s">
        <v>1151</v>
      </c>
      <c r="AA192" s="175" t="s">
        <v>559</v>
      </c>
      <c r="AB192" s="175" t="s">
        <v>742</v>
      </c>
      <c r="AC192" s="183" t="s">
        <v>559</v>
      </c>
      <c r="AD192" s="183" t="s">
        <v>742</v>
      </c>
      <c r="AE192" s="190" t="s">
        <v>1451</v>
      </c>
      <c r="AF192" s="190" t="s">
        <v>1549</v>
      </c>
      <c r="AG192" s="183" t="s">
        <v>179</v>
      </c>
      <c r="AH192" s="183"/>
      <c r="AI192" s="192" t="s">
        <v>1501</v>
      </c>
      <c r="AJ192" s="177" t="s">
        <v>742</v>
      </c>
      <c r="AK192" s="177" t="s">
        <v>377</v>
      </c>
      <c r="AL192" s="177"/>
      <c r="AM192" s="177"/>
      <c r="AN192" s="177" t="s">
        <v>963</v>
      </c>
      <c r="AO192" s="180" t="s">
        <v>1383</v>
      </c>
      <c r="AP192" s="174" t="s">
        <v>1038</v>
      </c>
      <c r="AQ192" s="174" t="s">
        <v>1428</v>
      </c>
      <c r="AR192" s="183" t="s">
        <v>559</v>
      </c>
      <c r="AS192" s="183" t="s">
        <v>1429</v>
      </c>
      <c r="AT192" s="183" t="s">
        <v>377</v>
      </c>
      <c r="AU192" s="183" t="s">
        <v>179</v>
      </c>
      <c r="AV192" s="183"/>
      <c r="AW192" s="185"/>
      <c r="AX192" s="130"/>
      <c r="AY192" s="130"/>
      <c r="AZ192" s="130"/>
      <c r="BA192" s="130"/>
      <c r="BB192" s="130"/>
      <c r="BC192" s="130"/>
      <c r="BD192" s="130"/>
      <c r="BE192" s="130"/>
      <c r="BF192" s="130"/>
    </row>
    <row r="193" spans="1:58" s="129" customFormat="1" x14ac:dyDescent="0.2">
      <c r="A193" s="180"/>
      <c r="B193" s="180"/>
      <c r="C193" s="180"/>
      <c r="D193" s="181"/>
      <c r="E193" s="181"/>
      <c r="F193" s="181"/>
      <c r="G193" s="181"/>
      <c r="H193" s="181"/>
      <c r="I193" s="181"/>
      <c r="J193" s="181"/>
      <c r="K193" s="180"/>
      <c r="L193" s="181"/>
      <c r="M193" s="181"/>
      <c r="N193" s="181"/>
      <c r="O193" s="181"/>
      <c r="P193" s="194"/>
      <c r="Q193" s="180"/>
      <c r="R193" s="180"/>
      <c r="S193" s="181"/>
      <c r="T193" s="180"/>
      <c r="U193" s="180"/>
      <c r="V193" s="180"/>
      <c r="W193" s="180"/>
      <c r="X193" s="180" t="s">
        <v>1383</v>
      </c>
      <c r="Y193" s="180" t="s">
        <v>1168</v>
      </c>
      <c r="Z193" s="183" t="s">
        <v>1151</v>
      </c>
      <c r="AA193" s="175"/>
      <c r="AB193" s="175"/>
      <c r="AC193" s="183" t="s">
        <v>1629</v>
      </c>
      <c r="AD193" s="183" t="s">
        <v>742</v>
      </c>
      <c r="AE193" s="190" t="s">
        <v>1629</v>
      </c>
      <c r="AF193" s="190" t="s">
        <v>1549</v>
      </c>
      <c r="AG193" s="183"/>
      <c r="AH193" s="183"/>
      <c r="AI193" s="192"/>
      <c r="AJ193" s="177"/>
      <c r="AK193" s="177"/>
      <c r="AL193" s="177"/>
      <c r="AM193" s="177"/>
      <c r="AN193" s="177"/>
      <c r="AO193" s="180"/>
      <c r="AP193" s="174"/>
      <c r="AQ193" s="174"/>
      <c r="AR193" s="183"/>
      <c r="AS193" s="183"/>
      <c r="AT193" s="183"/>
      <c r="AU193" s="183"/>
      <c r="AV193" s="183"/>
      <c r="AW193" s="185"/>
      <c r="AX193" s="130"/>
      <c r="AY193" s="130"/>
      <c r="AZ193" s="130"/>
      <c r="BA193" s="130"/>
      <c r="BB193" s="130"/>
      <c r="BC193" s="130"/>
      <c r="BD193" s="130"/>
      <c r="BE193" s="130"/>
      <c r="BF193" s="130"/>
    </row>
    <row r="194" spans="1:58" s="129" customFormat="1" x14ac:dyDescent="0.2">
      <c r="A194" s="180"/>
      <c r="B194" s="180"/>
      <c r="C194" s="180"/>
      <c r="D194" s="181"/>
      <c r="E194" s="181"/>
      <c r="F194" s="181"/>
      <c r="G194" s="181"/>
      <c r="H194" s="181"/>
      <c r="I194" s="181"/>
      <c r="J194" s="181"/>
      <c r="K194" s="180"/>
      <c r="L194" s="181"/>
      <c r="M194" s="181"/>
      <c r="N194" s="181"/>
      <c r="O194" s="181"/>
      <c r="P194" s="194"/>
      <c r="Q194" s="180"/>
      <c r="R194" s="180"/>
      <c r="S194" s="181"/>
      <c r="T194" s="180"/>
      <c r="U194" s="180"/>
      <c r="V194" s="180"/>
      <c r="W194" s="180"/>
      <c r="X194" s="180" t="s">
        <v>1383</v>
      </c>
      <c r="Y194" s="180" t="s">
        <v>1168</v>
      </c>
      <c r="Z194" s="183" t="s">
        <v>1151</v>
      </c>
      <c r="AA194" s="175"/>
      <c r="AB194" s="175"/>
      <c r="AC194" s="183" t="s">
        <v>1630</v>
      </c>
      <c r="AD194" s="183" t="s">
        <v>742</v>
      </c>
      <c r="AE194" s="190" t="s">
        <v>1630</v>
      </c>
      <c r="AF194" s="190" t="s">
        <v>1549</v>
      </c>
      <c r="AG194" s="183"/>
      <c r="AH194" s="183"/>
      <c r="AI194" s="192"/>
      <c r="AJ194" s="177"/>
      <c r="AK194" s="177"/>
      <c r="AL194" s="177"/>
      <c r="AM194" s="177"/>
      <c r="AN194" s="177"/>
      <c r="AO194" s="180"/>
      <c r="AP194" s="174"/>
      <c r="AQ194" s="174"/>
      <c r="AR194" s="183"/>
      <c r="AS194" s="183"/>
      <c r="AT194" s="183"/>
      <c r="AU194" s="183"/>
      <c r="AV194" s="183"/>
      <c r="AW194" s="185"/>
      <c r="AX194" s="130"/>
      <c r="AY194" s="130"/>
      <c r="AZ194" s="130"/>
      <c r="BA194" s="130"/>
      <c r="BB194" s="130"/>
      <c r="BC194" s="130"/>
      <c r="BD194" s="130"/>
      <c r="BE194" s="130"/>
      <c r="BF194" s="130"/>
    </row>
    <row r="195" spans="1:58" s="129" customFormat="1" x14ac:dyDescent="0.2">
      <c r="A195" s="180"/>
      <c r="B195" s="180"/>
      <c r="C195" s="180"/>
      <c r="D195" s="181"/>
      <c r="E195" s="181"/>
      <c r="F195" s="181"/>
      <c r="G195" s="181"/>
      <c r="H195" s="181"/>
      <c r="I195" s="181"/>
      <c r="J195" s="181"/>
      <c r="K195" s="180"/>
      <c r="L195" s="181"/>
      <c r="M195" s="181"/>
      <c r="N195" s="181"/>
      <c r="O195" s="181"/>
      <c r="P195" s="194"/>
      <c r="Q195" s="180"/>
      <c r="R195" s="180"/>
      <c r="S195" s="181"/>
      <c r="T195" s="180"/>
      <c r="U195" s="180"/>
      <c r="V195" s="180"/>
      <c r="W195" s="180"/>
      <c r="X195" s="180" t="s">
        <v>1383</v>
      </c>
      <c r="Y195" s="180" t="s">
        <v>1168</v>
      </c>
      <c r="Z195" s="183" t="s">
        <v>1151</v>
      </c>
      <c r="AA195" s="175"/>
      <c r="AB195" s="175"/>
      <c r="AC195" s="183" t="s">
        <v>168</v>
      </c>
      <c r="AD195" s="183" t="s">
        <v>742</v>
      </c>
      <c r="AE195" s="190" t="s">
        <v>168</v>
      </c>
      <c r="AF195" s="190" t="s">
        <v>1549</v>
      </c>
      <c r="AG195" s="183"/>
      <c r="AH195" s="183"/>
      <c r="AI195" s="192"/>
      <c r="AJ195" s="177"/>
      <c r="AK195" s="177"/>
      <c r="AL195" s="177"/>
      <c r="AM195" s="177"/>
      <c r="AN195" s="177"/>
      <c r="AO195" s="180"/>
      <c r="AP195" s="174"/>
      <c r="AQ195" s="174"/>
      <c r="AR195" s="183"/>
      <c r="AS195" s="183"/>
      <c r="AT195" s="183"/>
      <c r="AU195" s="183"/>
      <c r="AV195" s="183"/>
      <c r="AW195" s="185"/>
      <c r="AX195" s="130"/>
      <c r="AY195" s="130"/>
      <c r="AZ195" s="130"/>
      <c r="BA195" s="130"/>
      <c r="BB195" s="130"/>
      <c r="BC195" s="130"/>
      <c r="BD195" s="130"/>
      <c r="BE195" s="130"/>
      <c r="BF195" s="130"/>
    </row>
    <row r="196" spans="1:58" s="129" customFormat="1" x14ac:dyDescent="0.2">
      <c r="A196" s="180" t="s">
        <v>1416</v>
      </c>
      <c r="B196" s="180" t="s">
        <v>601</v>
      </c>
      <c r="C196" s="180" t="s">
        <v>507</v>
      </c>
      <c r="D196" s="181" t="s">
        <v>345</v>
      </c>
      <c r="E196" s="181" t="s">
        <v>3</v>
      </c>
      <c r="F196" s="181"/>
      <c r="G196" s="181" t="s">
        <v>179</v>
      </c>
      <c r="H196" s="181"/>
      <c r="I196" s="181" t="s">
        <v>594</v>
      </c>
      <c r="J196" s="181" t="s">
        <v>650</v>
      </c>
      <c r="K196" s="180" t="s">
        <v>564</v>
      </c>
      <c r="L196" s="181" t="s">
        <v>565</v>
      </c>
      <c r="M196" s="181" t="s">
        <v>179</v>
      </c>
      <c r="N196" s="181" t="s">
        <v>411</v>
      </c>
      <c r="O196" s="181" t="s">
        <v>546</v>
      </c>
      <c r="P196" s="194">
        <v>44278</v>
      </c>
      <c r="Q196" s="180" t="s">
        <v>950</v>
      </c>
      <c r="R196" s="180" t="s">
        <v>950</v>
      </c>
      <c r="S196" s="181" t="s">
        <v>36</v>
      </c>
      <c r="T196" s="180" t="s">
        <v>1206</v>
      </c>
      <c r="U196" s="180" t="s">
        <v>1210</v>
      </c>
      <c r="V196" s="180" t="s">
        <v>564</v>
      </c>
      <c r="W196" s="180"/>
      <c r="X196" s="180" t="s">
        <v>1383</v>
      </c>
      <c r="Y196" s="180" t="s">
        <v>1168</v>
      </c>
      <c r="Z196" s="183" t="s">
        <v>1151</v>
      </c>
      <c r="AA196" s="175" t="s">
        <v>564</v>
      </c>
      <c r="AB196" s="175" t="s">
        <v>742</v>
      </c>
      <c r="AC196" s="183" t="s">
        <v>564</v>
      </c>
      <c r="AD196" s="183" t="s">
        <v>742</v>
      </c>
      <c r="AE196" s="183" t="s">
        <v>565</v>
      </c>
      <c r="AF196" s="183" t="s">
        <v>1549</v>
      </c>
      <c r="AG196" s="183" t="s">
        <v>179</v>
      </c>
      <c r="AH196" s="183"/>
      <c r="AI196" s="185" t="s">
        <v>963</v>
      </c>
      <c r="AJ196" s="177" t="s">
        <v>742</v>
      </c>
      <c r="AK196" s="177" t="s">
        <v>565</v>
      </c>
      <c r="AL196" s="177"/>
      <c r="AM196" s="177"/>
      <c r="AN196" s="177" t="s">
        <v>963</v>
      </c>
      <c r="AO196" s="180" t="s">
        <v>1383</v>
      </c>
      <c r="AP196" s="174" t="s">
        <v>1038</v>
      </c>
      <c r="AQ196" s="174" t="s">
        <v>1424</v>
      </c>
      <c r="AR196" s="183" t="s">
        <v>564</v>
      </c>
      <c r="AS196" s="183" t="s">
        <v>1429</v>
      </c>
      <c r="AT196" s="183" t="s">
        <v>565</v>
      </c>
      <c r="AU196" s="183" t="s">
        <v>179</v>
      </c>
      <c r="AV196" s="183"/>
      <c r="AW196" s="185"/>
      <c r="AX196" s="130"/>
      <c r="AY196" s="130"/>
      <c r="AZ196" s="130"/>
      <c r="BA196" s="130"/>
      <c r="BB196" s="130"/>
      <c r="BC196" s="130"/>
      <c r="BD196" s="130"/>
      <c r="BE196" s="130"/>
      <c r="BF196" s="130"/>
    </row>
    <row r="197" spans="1:58" s="129" customFormat="1" ht="38.25" x14ac:dyDescent="0.2">
      <c r="A197" s="171" t="s">
        <v>1416</v>
      </c>
      <c r="B197" s="171" t="s">
        <v>601</v>
      </c>
      <c r="C197" s="171" t="s">
        <v>507</v>
      </c>
      <c r="D197" s="172" t="s">
        <v>345</v>
      </c>
      <c r="E197" s="172" t="s">
        <v>170</v>
      </c>
      <c r="F197" s="172"/>
      <c r="G197" s="172" t="s">
        <v>164</v>
      </c>
      <c r="H197" s="197">
        <v>0.54166666666666663</v>
      </c>
      <c r="I197" s="172" t="s">
        <v>594</v>
      </c>
      <c r="J197" s="172" t="s">
        <v>650</v>
      </c>
      <c r="K197" s="171" t="s">
        <v>408</v>
      </c>
      <c r="L197" s="172" t="s">
        <v>412</v>
      </c>
      <c r="M197" s="172" t="s">
        <v>164</v>
      </c>
      <c r="N197" s="172" t="s">
        <v>672</v>
      </c>
      <c r="O197" s="172" t="s">
        <v>548</v>
      </c>
      <c r="P197" s="178">
        <v>44278</v>
      </c>
      <c r="Q197" s="171" t="s">
        <v>408</v>
      </c>
      <c r="R197" s="171" t="s">
        <v>408</v>
      </c>
      <c r="S197" s="172"/>
      <c r="T197" s="171" t="s">
        <v>1206</v>
      </c>
      <c r="U197" s="171" t="s">
        <v>1210</v>
      </c>
      <c r="V197" s="171" t="s">
        <v>973</v>
      </c>
      <c r="W197" s="171"/>
      <c r="X197" s="171" t="s">
        <v>1383</v>
      </c>
      <c r="Y197" s="171" t="s">
        <v>1168</v>
      </c>
      <c r="Z197" s="174" t="s">
        <v>1151</v>
      </c>
      <c r="AA197" s="175" t="s">
        <v>408</v>
      </c>
      <c r="AB197" s="175" t="s">
        <v>742</v>
      </c>
      <c r="AC197" s="174" t="s">
        <v>973</v>
      </c>
      <c r="AD197" s="174" t="s">
        <v>742</v>
      </c>
      <c r="AE197" s="174" t="s">
        <v>1502</v>
      </c>
      <c r="AF197" s="174" t="s">
        <v>1479</v>
      </c>
      <c r="AG197" s="174" t="s">
        <v>164</v>
      </c>
      <c r="AH197" s="174"/>
      <c r="AI197" s="176" t="s">
        <v>963</v>
      </c>
      <c r="AJ197" s="177" t="s">
        <v>742</v>
      </c>
      <c r="AK197" s="177" t="s">
        <v>1373</v>
      </c>
      <c r="AL197" s="177"/>
      <c r="AM197" s="177">
        <f>SUBTOTAL(9,H197:Y197)</f>
        <v>44278.541666666664</v>
      </c>
      <c r="AN197" s="177" t="s">
        <v>963</v>
      </c>
      <c r="AO197" s="174"/>
      <c r="AP197" s="174"/>
      <c r="AQ197" s="174"/>
      <c r="AR197" s="174"/>
      <c r="AS197" s="174"/>
      <c r="AT197" s="174"/>
      <c r="AU197" s="174"/>
      <c r="AV197" s="174"/>
      <c r="AW197" s="176" t="s">
        <v>963</v>
      </c>
      <c r="AX197" s="130"/>
      <c r="AY197" s="130"/>
      <c r="AZ197" s="130"/>
      <c r="BA197" s="130"/>
      <c r="BB197" s="130"/>
      <c r="BC197" s="130"/>
      <c r="BD197" s="130"/>
      <c r="BE197" s="130"/>
      <c r="BF197" s="130"/>
    </row>
    <row r="198" spans="1:58" s="129" customFormat="1" x14ac:dyDescent="0.2">
      <c r="A198" s="171" t="s">
        <v>1416</v>
      </c>
      <c r="B198" s="171" t="s">
        <v>601</v>
      </c>
      <c r="C198" s="171" t="s">
        <v>507</v>
      </c>
      <c r="D198" s="172" t="s">
        <v>345</v>
      </c>
      <c r="E198" s="172" t="s">
        <v>172</v>
      </c>
      <c r="F198" s="172"/>
      <c r="G198" s="172" t="s">
        <v>164</v>
      </c>
      <c r="H198" s="197">
        <v>0</v>
      </c>
      <c r="I198" s="172" t="s">
        <v>594</v>
      </c>
      <c r="J198" s="172" t="s">
        <v>650</v>
      </c>
      <c r="K198" s="171" t="s">
        <v>172</v>
      </c>
      <c r="L198" s="172" t="s">
        <v>413</v>
      </c>
      <c r="M198" s="172" t="s">
        <v>164</v>
      </c>
      <c r="N198" s="172" t="s">
        <v>420</v>
      </c>
      <c r="O198" s="172" t="s">
        <v>548</v>
      </c>
      <c r="P198" s="178">
        <v>44278</v>
      </c>
      <c r="Q198" s="171" t="s">
        <v>172</v>
      </c>
      <c r="R198" s="171" t="s">
        <v>172</v>
      </c>
      <c r="S198" s="172"/>
      <c r="T198" s="171" t="s">
        <v>1206</v>
      </c>
      <c r="U198" s="171" t="s">
        <v>1210</v>
      </c>
      <c r="V198" s="171" t="s">
        <v>974</v>
      </c>
      <c r="W198" s="171"/>
      <c r="X198" s="171" t="s">
        <v>1383</v>
      </c>
      <c r="Y198" s="171" t="s">
        <v>1168</v>
      </c>
      <c r="Z198" s="174" t="s">
        <v>1151</v>
      </c>
      <c r="AA198" s="175" t="s">
        <v>172</v>
      </c>
      <c r="AB198" s="175" t="s">
        <v>742</v>
      </c>
      <c r="AC198" s="174" t="s">
        <v>974</v>
      </c>
      <c r="AD198" s="174" t="s">
        <v>742</v>
      </c>
      <c r="AE198" s="174" t="s">
        <v>1503</v>
      </c>
      <c r="AF198" s="174" t="s">
        <v>1479</v>
      </c>
      <c r="AG198" s="174" t="s">
        <v>164</v>
      </c>
      <c r="AH198" s="174"/>
      <c r="AI198" s="176" t="s">
        <v>963</v>
      </c>
      <c r="AJ198" s="177" t="s">
        <v>742</v>
      </c>
      <c r="AK198" s="177" t="s">
        <v>1374</v>
      </c>
      <c r="AL198" s="177"/>
      <c r="AM198" s="177">
        <f>SUBTOTAL(9,H198:Y198)</f>
        <v>44278</v>
      </c>
      <c r="AN198" s="177" t="s">
        <v>963</v>
      </c>
      <c r="AO198" s="174"/>
      <c r="AP198" s="174"/>
      <c r="AQ198" s="174"/>
      <c r="AR198" s="174"/>
      <c r="AS198" s="174"/>
      <c r="AT198" s="174"/>
      <c r="AU198" s="174"/>
      <c r="AV198" s="174"/>
      <c r="AW198" s="176" t="s">
        <v>963</v>
      </c>
      <c r="AX198" s="130"/>
      <c r="AY198" s="130"/>
      <c r="AZ198" s="130"/>
      <c r="BA198" s="130"/>
      <c r="BB198" s="130"/>
      <c r="BC198" s="130"/>
      <c r="BD198" s="130"/>
      <c r="BE198" s="130"/>
      <c r="BF198" s="130"/>
    </row>
    <row r="199" spans="1:58" s="129" customFormat="1" x14ac:dyDescent="0.2">
      <c r="A199" s="171" t="s">
        <v>1416</v>
      </c>
      <c r="B199" s="171" t="s">
        <v>601</v>
      </c>
      <c r="C199" s="171" t="s">
        <v>507</v>
      </c>
      <c r="D199" s="172" t="s">
        <v>345</v>
      </c>
      <c r="E199" s="172" t="s">
        <v>174</v>
      </c>
      <c r="F199" s="172"/>
      <c r="G199" s="172" t="s">
        <v>164</v>
      </c>
      <c r="H199" s="197">
        <v>0</v>
      </c>
      <c r="I199" s="172" t="s">
        <v>594</v>
      </c>
      <c r="J199" s="172" t="s">
        <v>650</v>
      </c>
      <c r="K199" s="171" t="s">
        <v>174</v>
      </c>
      <c r="L199" s="172" t="s">
        <v>414</v>
      </c>
      <c r="M199" s="172" t="s">
        <v>164</v>
      </c>
      <c r="N199" s="172" t="s">
        <v>420</v>
      </c>
      <c r="O199" s="172" t="s">
        <v>548</v>
      </c>
      <c r="P199" s="178">
        <v>44278</v>
      </c>
      <c r="Q199" s="171" t="s">
        <v>174</v>
      </c>
      <c r="R199" s="171" t="s">
        <v>174</v>
      </c>
      <c r="S199" s="172"/>
      <c r="T199" s="171" t="s">
        <v>1206</v>
      </c>
      <c r="U199" s="171" t="s">
        <v>1210</v>
      </c>
      <c r="V199" s="171" t="s">
        <v>975</v>
      </c>
      <c r="W199" s="171"/>
      <c r="X199" s="171" t="s">
        <v>1383</v>
      </c>
      <c r="Y199" s="171" t="s">
        <v>1168</v>
      </c>
      <c r="Z199" s="174" t="s">
        <v>1151</v>
      </c>
      <c r="AA199" s="175" t="s">
        <v>174</v>
      </c>
      <c r="AB199" s="175" t="s">
        <v>742</v>
      </c>
      <c r="AC199" s="174" t="s">
        <v>975</v>
      </c>
      <c r="AD199" s="174" t="s">
        <v>742</v>
      </c>
      <c r="AE199" s="174" t="s">
        <v>1504</v>
      </c>
      <c r="AF199" s="174" t="s">
        <v>1479</v>
      </c>
      <c r="AG199" s="174" t="s">
        <v>164</v>
      </c>
      <c r="AH199" s="174"/>
      <c r="AI199" s="176" t="s">
        <v>963</v>
      </c>
      <c r="AJ199" s="177" t="s">
        <v>742</v>
      </c>
      <c r="AK199" s="177" t="s">
        <v>1375</v>
      </c>
      <c r="AL199" s="177"/>
      <c r="AM199" s="177">
        <f>SUBTOTAL(9,H199:Y199)</f>
        <v>44278</v>
      </c>
      <c r="AN199" s="177" t="s">
        <v>963</v>
      </c>
      <c r="AO199" s="174"/>
      <c r="AP199" s="174"/>
      <c r="AQ199" s="174"/>
      <c r="AR199" s="174"/>
      <c r="AS199" s="174"/>
      <c r="AT199" s="174"/>
      <c r="AU199" s="174"/>
      <c r="AV199" s="174"/>
      <c r="AW199" s="176" t="s">
        <v>963</v>
      </c>
      <c r="AX199" s="130"/>
      <c r="AY199" s="130"/>
      <c r="AZ199" s="130"/>
      <c r="BA199" s="130"/>
      <c r="BB199" s="130"/>
      <c r="BC199" s="130"/>
      <c r="BD199" s="130"/>
      <c r="BE199" s="130"/>
      <c r="BF199" s="130"/>
    </row>
    <row r="200" spans="1:58" s="129" customFormat="1" x14ac:dyDescent="0.2">
      <c r="A200" s="171" t="s">
        <v>1416</v>
      </c>
      <c r="B200" s="171" t="s">
        <v>601</v>
      </c>
      <c r="C200" s="171" t="s">
        <v>507</v>
      </c>
      <c r="D200" s="172" t="s">
        <v>345</v>
      </c>
      <c r="E200" s="172" t="s">
        <v>176</v>
      </c>
      <c r="F200" s="172"/>
      <c r="G200" s="172" t="s">
        <v>164</v>
      </c>
      <c r="H200" s="197">
        <v>0</v>
      </c>
      <c r="I200" s="172" t="s">
        <v>594</v>
      </c>
      <c r="J200" s="172" t="s">
        <v>650</v>
      </c>
      <c r="K200" s="171" t="s">
        <v>176</v>
      </c>
      <c r="L200" s="172" t="s">
        <v>415</v>
      </c>
      <c r="M200" s="172" t="s">
        <v>164</v>
      </c>
      <c r="N200" s="172" t="s">
        <v>420</v>
      </c>
      <c r="O200" s="172" t="s">
        <v>548</v>
      </c>
      <c r="P200" s="178">
        <v>44278</v>
      </c>
      <c r="Q200" s="171" t="s">
        <v>176</v>
      </c>
      <c r="R200" s="171" t="s">
        <v>176</v>
      </c>
      <c r="S200" s="172"/>
      <c r="T200" s="171" t="s">
        <v>1206</v>
      </c>
      <c r="U200" s="171" t="s">
        <v>1210</v>
      </c>
      <c r="V200" s="171" t="s">
        <v>976</v>
      </c>
      <c r="W200" s="171"/>
      <c r="X200" s="171" t="s">
        <v>1383</v>
      </c>
      <c r="Y200" s="171" t="s">
        <v>1168</v>
      </c>
      <c r="Z200" s="174" t="s">
        <v>1151</v>
      </c>
      <c r="AA200" s="175" t="s">
        <v>176</v>
      </c>
      <c r="AB200" s="175" t="s">
        <v>742</v>
      </c>
      <c r="AC200" s="174" t="s">
        <v>976</v>
      </c>
      <c r="AD200" s="174" t="s">
        <v>742</v>
      </c>
      <c r="AE200" s="174" t="s">
        <v>1505</v>
      </c>
      <c r="AF200" s="174" t="s">
        <v>1479</v>
      </c>
      <c r="AG200" s="174" t="s">
        <v>164</v>
      </c>
      <c r="AH200" s="174"/>
      <c r="AI200" s="176" t="s">
        <v>963</v>
      </c>
      <c r="AJ200" s="177" t="s">
        <v>742</v>
      </c>
      <c r="AK200" s="177" t="s">
        <v>1376</v>
      </c>
      <c r="AL200" s="177"/>
      <c r="AM200" s="177">
        <f>SUBTOTAL(9,H200:Y200)</f>
        <v>44278</v>
      </c>
      <c r="AN200" s="177" t="s">
        <v>963</v>
      </c>
      <c r="AO200" s="174"/>
      <c r="AP200" s="174"/>
      <c r="AQ200" s="174"/>
      <c r="AR200" s="174"/>
      <c r="AS200" s="174"/>
      <c r="AT200" s="174"/>
      <c r="AU200" s="174"/>
      <c r="AV200" s="174"/>
      <c r="AW200" s="176" t="s">
        <v>963</v>
      </c>
      <c r="AX200" s="130"/>
      <c r="AY200" s="130"/>
      <c r="AZ200" s="130"/>
      <c r="BA200" s="130"/>
      <c r="BB200" s="130"/>
      <c r="BC200" s="130"/>
      <c r="BD200" s="130"/>
      <c r="BE200" s="130"/>
      <c r="BF200" s="130"/>
    </row>
    <row r="201" spans="1:58" s="129" customFormat="1" ht="25.5" x14ac:dyDescent="0.2">
      <c r="A201" s="180" t="s">
        <v>1416</v>
      </c>
      <c r="B201" s="180" t="s">
        <v>601</v>
      </c>
      <c r="C201" s="180" t="s">
        <v>507</v>
      </c>
      <c r="D201" s="181" t="s">
        <v>345</v>
      </c>
      <c r="E201" s="180" t="s">
        <v>180</v>
      </c>
      <c r="F201" s="180"/>
      <c r="G201" s="181" t="s">
        <v>157</v>
      </c>
      <c r="H201" s="181">
        <v>1</v>
      </c>
      <c r="I201" s="181" t="s">
        <v>594</v>
      </c>
      <c r="J201" s="181" t="s">
        <v>650</v>
      </c>
      <c r="K201" s="181" t="s">
        <v>573</v>
      </c>
      <c r="L201" s="181" t="s">
        <v>332</v>
      </c>
      <c r="M201" s="181" t="s">
        <v>1066</v>
      </c>
      <c r="N201" s="181" t="s">
        <v>592</v>
      </c>
      <c r="O201" s="181" t="s">
        <v>548</v>
      </c>
      <c r="P201" s="194">
        <v>44278</v>
      </c>
      <c r="Q201" s="195" t="str">
        <f>K201</f>
        <v>isAssigned</v>
      </c>
      <c r="R201" s="195"/>
      <c r="S201" s="196"/>
      <c r="T201" s="180"/>
      <c r="U201" s="180"/>
      <c r="V201" s="180"/>
      <c r="W201" s="180"/>
      <c r="X201" s="180" t="s">
        <v>1383</v>
      </c>
      <c r="Y201" s="180" t="s">
        <v>1168</v>
      </c>
      <c r="Z201" s="183" t="s">
        <v>1151</v>
      </c>
      <c r="AA201" s="175" t="s">
        <v>573</v>
      </c>
      <c r="AB201" s="175" t="s">
        <v>742</v>
      </c>
      <c r="AC201" s="183" t="s">
        <v>573</v>
      </c>
      <c r="AD201" s="183" t="s">
        <v>742</v>
      </c>
      <c r="AE201" s="183" t="s">
        <v>573</v>
      </c>
      <c r="AF201" s="183" t="s">
        <v>1549</v>
      </c>
      <c r="AG201" s="183" t="s">
        <v>157</v>
      </c>
      <c r="AH201" s="183"/>
      <c r="AI201" s="185" t="s">
        <v>963</v>
      </c>
      <c r="AJ201" s="177" t="s">
        <v>742</v>
      </c>
      <c r="AK201" s="177" t="s">
        <v>332</v>
      </c>
      <c r="AL201" s="177"/>
      <c r="AM201" s="177">
        <f>SUBTOTAL(9,H201:Y201)</f>
        <v>44279</v>
      </c>
      <c r="AN201" s="177" t="s">
        <v>963</v>
      </c>
      <c r="AO201" s="183"/>
      <c r="AP201" s="183"/>
      <c r="AQ201" s="183"/>
      <c r="AR201" s="183"/>
      <c r="AS201" s="183"/>
      <c r="AT201" s="183"/>
      <c r="AU201" s="183"/>
      <c r="AV201" s="183"/>
      <c r="AW201" s="185"/>
      <c r="AX201" s="130"/>
      <c r="AY201" s="130"/>
      <c r="AZ201" s="130"/>
      <c r="BA201" s="130"/>
      <c r="BB201" s="130"/>
      <c r="BC201" s="130"/>
      <c r="BD201" s="130"/>
      <c r="BE201" s="130"/>
      <c r="BF201" s="130"/>
    </row>
    <row r="202" spans="1:58" s="129" customFormat="1" ht="25.5" x14ac:dyDescent="0.2">
      <c r="A202" s="180" t="s">
        <v>1416</v>
      </c>
      <c r="B202" s="180" t="s">
        <v>601</v>
      </c>
      <c r="C202" s="180" t="s">
        <v>507</v>
      </c>
      <c r="D202" s="181" t="s">
        <v>345</v>
      </c>
      <c r="E202" s="181" t="s">
        <v>185</v>
      </c>
      <c r="F202" s="181"/>
      <c r="G202" s="181" t="s">
        <v>157</v>
      </c>
      <c r="H202" s="181"/>
      <c r="I202" s="181" t="s">
        <v>594</v>
      </c>
      <c r="J202" s="181" t="s">
        <v>650</v>
      </c>
      <c r="K202" s="180" t="s">
        <v>566</v>
      </c>
      <c r="L202" s="181" t="s">
        <v>332</v>
      </c>
      <c r="M202" s="181" t="s">
        <v>157</v>
      </c>
      <c r="N202" s="181" t="s">
        <v>506</v>
      </c>
      <c r="O202" s="181" t="s">
        <v>555</v>
      </c>
      <c r="P202" s="194">
        <v>44278</v>
      </c>
      <c r="Q202" s="180" t="str">
        <f>K202</f>
        <v>serviceDeliveryId</v>
      </c>
      <c r="R202" s="180" t="str">
        <f>K202</f>
        <v>serviceDeliveryId</v>
      </c>
      <c r="S202" s="181"/>
      <c r="T202" s="180"/>
      <c r="U202" s="180" t="s">
        <v>1210</v>
      </c>
      <c r="V202" s="180" t="s">
        <v>566</v>
      </c>
      <c r="W202" s="180"/>
      <c r="X202" s="180" t="s">
        <v>1383</v>
      </c>
      <c r="Y202" s="180" t="s">
        <v>1168</v>
      </c>
      <c r="Z202" s="183" t="s">
        <v>1151</v>
      </c>
      <c r="AA202" s="175" t="s">
        <v>566</v>
      </c>
      <c r="AB202" s="175" t="s">
        <v>742</v>
      </c>
      <c r="AC202" s="183" t="s">
        <v>566</v>
      </c>
      <c r="AD202" s="183" t="s">
        <v>742</v>
      </c>
      <c r="AE202" s="183" t="s">
        <v>566</v>
      </c>
      <c r="AF202" s="183" t="s">
        <v>1549</v>
      </c>
      <c r="AG202" s="183" t="s">
        <v>157</v>
      </c>
      <c r="AH202" s="183"/>
      <c r="AI202" s="185" t="s">
        <v>1069</v>
      </c>
      <c r="AJ202" s="177" t="s">
        <v>742</v>
      </c>
      <c r="AK202" s="177" t="s">
        <v>332</v>
      </c>
      <c r="AL202" s="177"/>
      <c r="AM202" s="177"/>
      <c r="AN202" s="177" t="s">
        <v>1069</v>
      </c>
      <c r="AO202" s="183"/>
      <c r="AP202" s="183"/>
      <c r="AQ202" s="183"/>
      <c r="AR202" s="183"/>
      <c r="AS202" s="183"/>
      <c r="AT202" s="183"/>
      <c r="AU202" s="183"/>
      <c r="AV202" s="183"/>
      <c r="AW202" s="185"/>
      <c r="AX202" s="130"/>
      <c r="AY202" s="130"/>
      <c r="AZ202" s="130"/>
      <c r="BA202" s="130"/>
      <c r="BB202" s="130"/>
      <c r="BC202" s="130"/>
      <c r="BD202" s="130"/>
      <c r="BE202" s="130"/>
      <c r="BF202" s="130"/>
    </row>
    <row r="203" spans="1:58" s="129" customFormat="1" ht="38.25" x14ac:dyDescent="0.2">
      <c r="A203" s="180" t="s">
        <v>1416</v>
      </c>
      <c r="B203" s="180" t="s">
        <v>601</v>
      </c>
      <c r="C203" s="180" t="s">
        <v>507</v>
      </c>
      <c r="D203" s="181" t="s">
        <v>345</v>
      </c>
      <c r="E203" s="180" t="s">
        <v>214</v>
      </c>
      <c r="F203" s="180"/>
      <c r="G203" s="181" t="s">
        <v>179</v>
      </c>
      <c r="H203" s="181"/>
      <c r="I203" s="181" t="s">
        <v>594</v>
      </c>
      <c r="J203" s="181" t="s">
        <v>650</v>
      </c>
      <c r="K203" s="181" t="s">
        <v>568</v>
      </c>
      <c r="L203" s="181" t="s">
        <v>332</v>
      </c>
      <c r="M203" s="181" t="s">
        <v>179</v>
      </c>
      <c r="N203" s="181" t="s">
        <v>682</v>
      </c>
      <c r="O203" s="181" t="s">
        <v>555</v>
      </c>
      <c r="P203" s="194">
        <v>44278</v>
      </c>
      <c r="Q203" s="180" t="s">
        <v>568</v>
      </c>
      <c r="R203" s="180" t="s">
        <v>568</v>
      </c>
      <c r="S203" s="181" t="s">
        <v>36</v>
      </c>
      <c r="T203" s="180" t="s">
        <v>1206</v>
      </c>
      <c r="U203" s="180" t="s">
        <v>1210</v>
      </c>
      <c r="V203" s="180" t="s">
        <v>568</v>
      </c>
      <c r="W203" s="180"/>
      <c r="X203" s="180" t="s">
        <v>1383</v>
      </c>
      <c r="Y203" s="180" t="s">
        <v>1168</v>
      </c>
      <c r="Z203" s="183" t="s">
        <v>1151</v>
      </c>
      <c r="AA203" s="175" t="s">
        <v>568</v>
      </c>
      <c r="AB203" s="175" t="s">
        <v>742</v>
      </c>
      <c r="AC203" s="183" t="s">
        <v>568</v>
      </c>
      <c r="AD203" s="183" t="s">
        <v>742</v>
      </c>
      <c r="AE203" s="183" t="s">
        <v>568</v>
      </c>
      <c r="AF203" s="183" t="s">
        <v>1549</v>
      </c>
      <c r="AG203" s="183" t="s">
        <v>179</v>
      </c>
      <c r="AH203" s="183"/>
      <c r="AI203" s="185" t="s">
        <v>963</v>
      </c>
      <c r="AJ203" s="177" t="s">
        <v>742</v>
      </c>
      <c r="AK203" s="177" t="s">
        <v>332</v>
      </c>
      <c r="AL203" s="177"/>
      <c r="AM203" s="177"/>
      <c r="AN203" s="177" t="s">
        <v>963</v>
      </c>
      <c r="AO203" s="183"/>
      <c r="AP203" s="183"/>
      <c r="AQ203" s="183"/>
      <c r="AR203" s="183"/>
      <c r="AS203" s="183"/>
      <c r="AT203" s="183"/>
      <c r="AU203" s="183"/>
      <c r="AV203" s="183"/>
      <c r="AW203" s="185" t="s">
        <v>963</v>
      </c>
      <c r="AX203" s="130"/>
      <c r="AY203" s="130"/>
      <c r="AZ203" s="130"/>
      <c r="BA203" s="130"/>
      <c r="BB203" s="130"/>
      <c r="BC203" s="130"/>
      <c r="BD203" s="130"/>
      <c r="BE203" s="130"/>
      <c r="BF203" s="130"/>
    </row>
    <row r="204" spans="1:58" s="129" customFormat="1" x14ac:dyDescent="0.2">
      <c r="A204" s="180" t="s">
        <v>1416</v>
      </c>
      <c r="B204" s="180" t="s">
        <v>601</v>
      </c>
      <c r="C204" s="180" t="s">
        <v>507</v>
      </c>
      <c r="D204" s="181" t="s">
        <v>345</v>
      </c>
      <c r="E204" s="181" t="s">
        <v>186</v>
      </c>
      <c r="F204" s="181"/>
      <c r="G204" s="181" t="s">
        <v>179</v>
      </c>
      <c r="H204" s="181"/>
      <c r="I204" s="181" t="s">
        <v>594</v>
      </c>
      <c r="J204" s="181" t="s">
        <v>650</v>
      </c>
      <c r="K204" s="180" t="s">
        <v>567</v>
      </c>
      <c r="L204" s="181" t="s">
        <v>387</v>
      </c>
      <c r="M204" s="181" t="s">
        <v>179</v>
      </c>
      <c r="N204" s="181" t="s">
        <v>374</v>
      </c>
      <c r="O204" s="181" t="s">
        <v>555</v>
      </c>
      <c r="P204" s="194">
        <v>44278</v>
      </c>
      <c r="Q204" s="180" t="s">
        <v>567</v>
      </c>
      <c r="R204" s="180" t="s">
        <v>567</v>
      </c>
      <c r="S204" s="181"/>
      <c r="T204" s="180" t="s">
        <v>1206</v>
      </c>
      <c r="U204" s="180" t="s">
        <v>1210</v>
      </c>
      <c r="V204" s="180" t="s">
        <v>983</v>
      </c>
      <c r="W204" s="180"/>
      <c r="X204" s="180" t="s">
        <v>1383</v>
      </c>
      <c r="Y204" s="180" t="s">
        <v>1168</v>
      </c>
      <c r="Z204" s="183" t="s">
        <v>1151</v>
      </c>
      <c r="AA204" s="175" t="s">
        <v>567</v>
      </c>
      <c r="AB204" s="175" t="s">
        <v>742</v>
      </c>
      <c r="AC204" s="183" t="s">
        <v>567</v>
      </c>
      <c r="AD204" s="183" t="s">
        <v>742</v>
      </c>
      <c r="AE204" s="183" t="s">
        <v>567</v>
      </c>
      <c r="AF204" s="183" t="s">
        <v>1549</v>
      </c>
      <c r="AG204" s="183" t="s">
        <v>179</v>
      </c>
      <c r="AH204" s="183"/>
      <c r="AI204" s="185" t="s">
        <v>963</v>
      </c>
      <c r="AJ204" s="177" t="s">
        <v>742</v>
      </c>
      <c r="AK204" s="177" t="s">
        <v>387</v>
      </c>
      <c r="AL204" s="177"/>
      <c r="AM204" s="177"/>
      <c r="AN204" s="177" t="s">
        <v>963</v>
      </c>
      <c r="AO204" s="183"/>
      <c r="AP204" s="183"/>
      <c r="AQ204" s="183"/>
      <c r="AR204" s="183"/>
      <c r="AS204" s="183"/>
      <c r="AT204" s="183"/>
      <c r="AU204" s="183"/>
      <c r="AV204" s="183"/>
      <c r="AW204" s="185" t="s">
        <v>963</v>
      </c>
      <c r="AX204" s="130"/>
      <c r="AY204" s="130"/>
      <c r="AZ204" s="130"/>
      <c r="BA204" s="130"/>
      <c r="BB204" s="130"/>
      <c r="BC204" s="130"/>
      <c r="BD204" s="130"/>
      <c r="BE204" s="130"/>
      <c r="BF204" s="130"/>
    </row>
    <row r="205" spans="1:58" s="129" customFormat="1" x14ac:dyDescent="0.2">
      <c r="A205" s="171" t="s">
        <v>1416</v>
      </c>
      <c r="B205" s="171" t="s">
        <v>601</v>
      </c>
      <c r="C205" s="171" t="s">
        <v>507</v>
      </c>
      <c r="D205" s="172" t="s">
        <v>345</v>
      </c>
      <c r="E205" s="172" t="s">
        <v>167</v>
      </c>
      <c r="F205" s="172"/>
      <c r="G205" s="172" t="s">
        <v>164</v>
      </c>
      <c r="H205" s="172" t="s">
        <v>165</v>
      </c>
      <c r="I205" s="172" t="s">
        <v>594</v>
      </c>
      <c r="J205" s="172" t="s">
        <v>650</v>
      </c>
      <c r="K205" s="171" t="s">
        <v>773</v>
      </c>
      <c r="L205" s="172" t="s">
        <v>376</v>
      </c>
      <c r="M205" s="172" t="s">
        <v>56</v>
      </c>
      <c r="N205" s="172" t="s">
        <v>560</v>
      </c>
      <c r="O205" s="172" t="s">
        <v>548</v>
      </c>
      <c r="P205" s="178">
        <v>44278</v>
      </c>
      <c r="Q205" s="171" t="s">
        <v>773</v>
      </c>
      <c r="R205" s="171" t="s">
        <v>773</v>
      </c>
      <c r="S205" s="172"/>
      <c r="T205" s="171" t="s">
        <v>1206</v>
      </c>
      <c r="U205" s="171" t="s">
        <v>1210</v>
      </c>
      <c r="V205" s="171" t="s">
        <v>985</v>
      </c>
      <c r="W205" s="171"/>
      <c r="X205" s="171" t="s">
        <v>1383</v>
      </c>
      <c r="Y205" s="171" t="s">
        <v>1168</v>
      </c>
      <c r="Z205" s="174" t="s">
        <v>1151</v>
      </c>
      <c r="AA205" s="175" t="s">
        <v>773</v>
      </c>
      <c r="AB205" s="175" t="s">
        <v>742</v>
      </c>
      <c r="AC205" s="174" t="s">
        <v>773</v>
      </c>
      <c r="AD205" s="174" t="s">
        <v>742</v>
      </c>
      <c r="AE205" s="174" t="s">
        <v>1507</v>
      </c>
      <c r="AF205" s="174" t="s">
        <v>1479</v>
      </c>
      <c r="AG205" s="174" t="s">
        <v>56</v>
      </c>
      <c r="AH205" s="174"/>
      <c r="AI205" s="176" t="s">
        <v>963</v>
      </c>
      <c r="AJ205" s="177" t="s">
        <v>742</v>
      </c>
      <c r="AK205" s="177" t="s">
        <v>376</v>
      </c>
      <c r="AL205" s="177"/>
      <c r="AM205" s="177"/>
      <c r="AN205" s="177" t="s">
        <v>963</v>
      </c>
      <c r="AO205" s="174"/>
      <c r="AP205" s="174"/>
      <c r="AQ205" s="174"/>
      <c r="AR205" s="174"/>
      <c r="AS205" s="174"/>
      <c r="AT205" s="174"/>
      <c r="AU205" s="174"/>
      <c r="AV205" s="174"/>
      <c r="AW205" s="176" t="s">
        <v>963</v>
      </c>
      <c r="AX205" s="130"/>
      <c r="AY205" s="130"/>
      <c r="AZ205" s="130"/>
      <c r="BA205" s="130"/>
      <c r="BB205" s="130"/>
      <c r="BC205" s="130"/>
      <c r="BD205" s="130"/>
      <c r="BE205" s="130"/>
      <c r="BF205" s="130"/>
    </row>
    <row r="206" spans="1:58" s="129" customFormat="1" ht="25.5" x14ac:dyDescent="0.2">
      <c r="A206" s="171" t="s">
        <v>1416</v>
      </c>
      <c r="B206" s="171" t="s">
        <v>601</v>
      </c>
      <c r="C206" s="171" t="s">
        <v>507</v>
      </c>
      <c r="D206" s="172" t="s">
        <v>345</v>
      </c>
      <c r="E206" s="172" t="s">
        <v>163</v>
      </c>
      <c r="F206" s="172"/>
      <c r="G206" s="172" t="s">
        <v>164</v>
      </c>
      <c r="H206" s="172" t="s">
        <v>165</v>
      </c>
      <c r="I206" s="172" t="s">
        <v>594</v>
      </c>
      <c r="J206" s="172" t="s">
        <v>650</v>
      </c>
      <c r="K206" s="171" t="s">
        <v>774</v>
      </c>
      <c r="L206" s="172" t="s">
        <v>409</v>
      </c>
      <c r="M206" s="172" t="s">
        <v>56</v>
      </c>
      <c r="N206" s="172" t="s">
        <v>561</v>
      </c>
      <c r="O206" s="172" t="s">
        <v>548</v>
      </c>
      <c r="P206" s="178">
        <v>44278</v>
      </c>
      <c r="Q206" s="171" t="s">
        <v>774</v>
      </c>
      <c r="R206" s="171" t="s">
        <v>774</v>
      </c>
      <c r="S206" s="172"/>
      <c r="T206" s="171" t="s">
        <v>1206</v>
      </c>
      <c r="U206" s="171" t="s">
        <v>1210</v>
      </c>
      <c r="V206" s="171" t="s">
        <v>984</v>
      </c>
      <c r="W206" s="171"/>
      <c r="X206" s="171" t="s">
        <v>1383</v>
      </c>
      <c r="Y206" s="171" t="s">
        <v>1168</v>
      </c>
      <c r="Z206" s="174" t="s">
        <v>1151</v>
      </c>
      <c r="AA206" s="175" t="s">
        <v>774</v>
      </c>
      <c r="AB206" s="175" t="s">
        <v>742</v>
      </c>
      <c r="AC206" s="174" t="s">
        <v>774</v>
      </c>
      <c r="AD206" s="174" t="s">
        <v>742</v>
      </c>
      <c r="AE206" s="174" t="s">
        <v>1508</v>
      </c>
      <c r="AF206" s="174" t="s">
        <v>1479</v>
      </c>
      <c r="AG206" s="174" t="s">
        <v>56</v>
      </c>
      <c r="AH206" s="174"/>
      <c r="AI206" s="176" t="s">
        <v>963</v>
      </c>
      <c r="AJ206" s="177" t="s">
        <v>742</v>
      </c>
      <c r="AK206" s="177" t="s">
        <v>409</v>
      </c>
      <c r="AL206" s="177"/>
      <c r="AM206" s="177"/>
      <c r="AN206" s="177" t="s">
        <v>963</v>
      </c>
      <c r="AO206" s="174"/>
      <c r="AP206" s="174"/>
      <c r="AQ206" s="174"/>
      <c r="AR206" s="174"/>
      <c r="AS206" s="174"/>
      <c r="AT206" s="174"/>
      <c r="AU206" s="174"/>
      <c r="AV206" s="174"/>
      <c r="AW206" s="176" t="s">
        <v>963</v>
      </c>
      <c r="AX206" s="130"/>
      <c r="AY206" s="130"/>
      <c r="AZ206" s="130"/>
      <c r="BA206" s="130"/>
      <c r="BB206" s="130"/>
      <c r="BC206" s="130"/>
      <c r="BD206" s="130"/>
      <c r="BE206" s="130"/>
      <c r="BF206" s="130"/>
    </row>
    <row r="207" spans="1:58" s="129" customFormat="1" x14ac:dyDescent="0.2">
      <c r="A207" s="174"/>
      <c r="B207" s="174"/>
      <c r="C207" s="174"/>
      <c r="D207" s="174"/>
      <c r="E207" s="174"/>
      <c r="F207" s="174"/>
      <c r="G207" s="174"/>
      <c r="H207" s="174"/>
      <c r="I207" s="174"/>
      <c r="J207" s="174"/>
      <c r="K207" s="174"/>
      <c r="L207" s="174"/>
      <c r="M207" s="174"/>
      <c r="N207" s="174"/>
      <c r="O207" s="174"/>
      <c r="P207" s="174"/>
      <c r="Q207" s="174"/>
      <c r="R207" s="174"/>
      <c r="S207" s="174"/>
      <c r="T207" s="174"/>
      <c r="U207" s="174"/>
      <c r="V207" s="174"/>
      <c r="W207" s="174"/>
      <c r="X207" s="171" t="s">
        <v>1383</v>
      </c>
      <c r="Y207" s="171" t="s">
        <v>1168</v>
      </c>
      <c r="Z207" s="174" t="s">
        <v>1151</v>
      </c>
      <c r="AA207" s="205"/>
      <c r="AB207" s="205"/>
      <c r="AC207" s="174" t="s">
        <v>1532</v>
      </c>
      <c r="AD207" s="174" t="s">
        <v>742</v>
      </c>
      <c r="AE207" s="174" t="s">
        <v>1532</v>
      </c>
      <c r="AF207" s="174" t="s">
        <v>1549</v>
      </c>
      <c r="AG207" s="183"/>
      <c r="AH207" s="174"/>
      <c r="AI207" s="176"/>
      <c r="AJ207" s="205"/>
      <c r="AK207" s="205"/>
      <c r="AL207" s="205"/>
      <c r="AM207" s="205"/>
      <c r="AN207" s="205"/>
      <c r="AO207" s="174"/>
      <c r="AP207" s="174"/>
      <c r="AQ207" s="174"/>
      <c r="AR207" s="174"/>
      <c r="AS207" s="174"/>
      <c r="AT207" s="174"/>
      <c r="AU207" s="174"/>
      <c r="AV207" s="174"/>
      <c r="AW207" s="176"/>
    </row>
    <row r="208" spans="1:58" s="129" customFormat="1" x14ac:dyDescent="0.2">
      <c r="A208" s="174"/>
      <c r="B208" s="174"/>
      <c r="C208" s="174"/>
      <c r="D208" s="174"/>
      <c r="E208" s="174"/>
      <c r="F208" s="174"/>
      <c r="G208" s="174"/>
      <c r="H208" s="174"/>
      <c r="I208" s="174"/>
      <c r="J208" s="174"/>
      <c r="K208" s="174"/>
      <c r="L208" s="174"/>
      <c r="M208" s="174"/>
      <c r="N208" s="174"/>
      <c r="O208" s="174"/>
      <c r="P208" s="174"/>
      <c r="Q208" s="174"/>
      <c r="R208" s="174"/>
      <c r="S208" s="174"/>
      <c r="T208" s="174"/>
      <c r="U208" s="174"/>
      <c r="V208" s="174"/>
      <c r="W208" s="174"/>
      <c r="X208" s="171" t="s">
        <v>1383</v>
      </c>
      <c r="Y208" s="171" t="s">
        <v>1168</v>
      </c>
      <c r="Z208" s="174" t="s">
        <v>1151</v>
      </c>
      <c r="AA208" s="205"/>
      <c r="AB208" s="205"/>
      <c r="AC208" s="174" t="s">
        <v>980</v>
      </c>
      <c r="AD208" s="174" t="s">
        <v>742</v>
      </c>
      <c r="AE208" s="174" t="s">
        <v>1533</v>
      </c>
      <c r="AF208" s="174" t="s">
        <v>1479</v>
      </c>
      <c r="AG208" s="183" t="s">
        <v>157</v>
      </c>
      <c r="AH208" s="174"/>
      <c r="AI208" s="176" t="s">
        <v>1586</v>
      </c>
      <c r="AJ208" s="205"/>
      <c r="AK208" s="205"/>
      <c r="AL208" s="205"/>
      <c r="AM208" s="205"/>
      <c r="AN208" s="205"/>
      <c r="AO208" s="174"/>
      <c r="AP208" s="174"/>
      <c r="AQ208" s="174"/>
      <c r="AR208" s="174"/>
      <c r="AS208" s="174"/>
      <c r="AT208" s="174"/>
      <c r="AU208" s="174"/>
      <c r="AV208" s="174"/>
      <c r="AW208" s="176"/>
    </row>
    <row r="209" spans="1:58" s="129" customFormat="1" x14ac:dyDescent="0.2">
      <c r="A209" s="174"/>
      <c r="B209" s="174"/>
      <c r="C209" s="174"/>
      <c r="D209" s="174"/>
      <c r="E209" s="174"/>
      <c r="F209" s="174"/>
      <c r="G209" s="174"/>
      <c r="H209" s="174"/>
      <c r="I209" s="174"/>
      <c r="J209" s="174"/>
      <c r="K209" s="174"/>
      <c r="L209" s="174"/>
      <c r="M209" s="174"/>
      <c r="N209" s="174"/>
      <c r="O209" s="174"/>
      <c r="P209" s="174"/>
      <c r="Q209" s="174"/>
      <c r="R209" s="174"/>
      <c r="S209" s="174"/>
      <c r="T209" s="174"/>
      <c r="U209" s="174"/>
      <c r="V209" s="174"/>
      <c r="W209" s="174"/>
      <c r="X209" s="171" t="s">
        <v>1383</v>
      </c>
      <c r="Y209" s="171" t="s">
        <v>1168</v>
      </c>
      <c r="Z209" s="174" t="s">
        <v>1151</v>
      </c>
      <c r="AA209" s="205"/>
      <c r="AB209" s="205"/>
      <c r="AC209" s="174" t="s">
        <v>1595</v>
      </c>
      <c r="AD209" s="174" t="s">
        <v>742</v>
      </c>
      <c r="AE209" s="174" t="s">
        <v>1535</v>
      </c>
      <c r="AF209" s="174" t="s">
        <v>1479</v>
      </c>
      <c r="AG209" s="183"/>
      <c r="AH209" s="174"/>
      <c r="AI209" s="176" t="s">
        <v>1534</v>
      </c>
      <c r="AJ209" s="205"/>
      <c r="AK209" s="205"/>
      <c r="AL209" s="205"/>
      <c r="AM209" s="205"/>
      <c r="AN209" s="205"/>
      <c r="AO209" s="174"/>
      <c r="AP209" s="174"/>
      <c r="AQ209" s="174"/>
      <c r="AR209" s="174"/>
      <c r="AS209" s="174"/>
      <c r="AT209" s="174"/>
      <c r="AU209" s="174"/>
      <c r="AV209" s="174"/>
      <c r="AW209" s="176"/>
    </row>
    <row r="210" spans="1:58" s="129" customFormat="1" ht="25.5" x14ac:dyDescent="0.2">
      <c r="A210" s="174"/>
      <c r="B210" s="174"/>
      <c r="C210" s="174"/>
      <c r="D210" s="174"/>
      <c r="E210" s="174"/>
      <c r="F210" s="174"/>
      <c r="G210" s="174"/>
      <c r="H210" s="174"/>
      <c r="I210" s="174"/>
      <c r="J210" s="174"/>
      <c r="K210" s="174"/>
      <c r="L210" s="174"/>
      <c r="M210" s="174"/>
      <c r="N210" s="174"/>
      <c r="O210" s="174"/>
      <c r="P210" s="174"/>
      <c r="Q210" s="174"/>
      <c r="R210" s="174"/>
      <c r="S210" s="174"/>
      <c r="T210" s="174"/>
      <c r="U210" s="174"/>
      <c r="V210" s="174"/>
      <c r="W210" s="174"/>
      <c r="X210" s="171" t="s">
        <v>1383</v>
      </c>
      <c r="Y210" s="174" t="s">
        <v>1168</v>
      </c>
      <c r="Z210" s="174" t="s">
        <v>1151</v>
      </c>
      <c r="AA210" s="205"/>
      <c r="AB210" s="205"/>
      <c r="AC210" s="174" t="s">
        <v>1589</v>
      </c>
      <c r="AD210" s="174" t="s">
        <v>742</v>
      </c>
      <c r="AE210" s="190" t="s">
        <v>1452</v>
      </c>
      <c r="AF210" s="190" t="s">
        <v>1479</v>
      </c>
      <c r="AG210" s="183"/>
      <c r="AH210" s="174"/>
      <c r="AI210" s="192" t="s">
        <v>1563</v>
      </c>
      <c r="AJ210" s="205"/>
      <c r="AK210" s="205"/>
      <c r="AL210" s="205"/>
      <c r="AM210" s="205"/>
      <c r="AN210" s="205"/>
      <c r="AO210" s="174"/>
      <c r="AP210" s="174"/>
      <c r="AQ210" s="174"/>
      <c r="AR210" s="174"/>
      <c r="AS210" s="174"/>
      <c r="AT210" s="174"/>
      <c r="AU210" s="174"/>
      <c r="AV210" s="174"/>
      <c r="AW210" s="176"/>
    </row>
    <row r="211" spans="1:58" s="129" customFormat="1" x14ac:dyDescent="0.2">
      <c r="A211" s="174"/>
      <c r="B211" s="174"/>
      <c r="C211" s="174"/>
      <c r="D211" s="174"/>
      <c r="E211" s="174"/>
      <c r="F211" s="174"/>
      <c r="G211" s="174"/>
      <c r="H211" s="174"/>
      <c r="I211" s="174"/>
      <c r="J211" s="174"/>
      <c r="K211" s="174"/>
      <c r="L211" s="174"/>
      <c r="M211" s="174"/>
      <c r="N211" s="174"/>
      <c r="O211" s="174"/>
      <c r="P211" s="174"/>
      <c r="Q211" s="174"/>
      <c r="R211" s="174"/>
      <c r="S211" s="174"/>
      <c r="T211" s="174"/>
      <c r="U211" s="174"/>
      <c r="V211" s="174"/>
      <c r="W211" s="174"/>
      <c r="X211" s="171" t="s">
        <v>1383</v>
      </c>
      <c r="Y211" s="174" t="s">
        <v>1168</v>
      </c>
      <c r="Z211" s="174" t="s">
        <v>1151</v>
      </c>
      <c r="AA211" s="205"/>
      <c r="AB211" s="205"/>
      <c r="AC211" s="183" t="s">
        <v>1474</v>
      </c>
      <c r="AD211" s="183" t="s">
        <v>742</v>
      </c>
      <c r="AE211" s="190" t="s">
        <v>1510</v>
      </c>
      <c r="AF211" s="190" t="s">
        <v>1479</v>
      </c>
      <c r="AG211" s="183"/>
      <c r="AH211" s="174"/>
      <c r="AI211" s="192"/>
      <c r="AJ211" s="205"/>
      <c r="AK211" s="205"/>
      <c r="AL211" s="205"/>
      <c r="AM211" s="205"/>
      <c r="AN211" s="205"/>
      <c r="AO211" s="174"/>
      <c r="AP211" s="174"/>
      <c r="AQ211" s="174"/>
      <c r="AR211" s="174"/>
      <c r="AS211" s="174"/>
      <c r="AT211" s="174"/>
      <c r="AU211" s="174"/>
      <c r="AV211" s="174"/>
      <c r="AW211" s="176"/>
    </row>
    <row r="212" spans="1:58" s="129" customFormat="1" x14ac:dyDescent="0.2">
      <c r="A212" s="174"/>
      <c r="B212" s="174"/>
      <c r="C212" s="174"/>
      <c r="D212" s="174"/>
      <c r="E212" s="174"/>
      <c r="F212" s="174"/>
      <c r="G212" s="174"/>
      <c r="H212" s="174"/>
      <c r="I212" s="174"/>
      <c r="J212" s="174"/>
      <c r="K212" s="174"/>
      <c r="L212" s="174"/>
      <c r="M212" s="174"/>
      <c r="N212" s="174"/>
      <c r="O212" s="174"/>
      <c r="P212" s="174"/>
      <c r="Q212" s="174"/>
      <c r="R212" s="174"/>
      <c r="S212" s="174"/>
      <c r="T212" s="174"/>
      <c r="U212" s="174"/>
      <c r="V212" s="174"/>
      <c r="W212" s="174"/>
      <c r="X212" s="171" t="s">
        <v>1383</v>
      </c>
      <c r="Y212" s="174" t="s">
        <v>1168</v>
      </c>
      <c r="Z212" s="174" t="s">
        <v>1151</v>
      </c>
      <c r="AA212" s="205"/>
      <c r="AB212" s="205"/>
      <c r="AC212" s="183" t="s">
        <v>1623</v>
      </c>
      <c r="AD212" s="183" t="s">
        <v>742</v>
      </c>
      <c r="AE212" s="190" t="s">
        <v>1622</v>
      </c>
      <c r="AF212" s="190" t="s">
        <v>1549</v>
      </c>
      <c r="AG212" s="183"/>
      <c r="AH212" s="174"/>
      <c r="AI212" s="192"/>
      <c r="AJ212" s="205"/>
      <c r="AK212" s="205"/>
      <c r="AL212" s="205"/>
      <c r="AM212" s="205"/>
      <c r="AN212" s="205"/>
      <c r="AO212" s="174"/>
      <c r="AP212" s="174"/>
      <c r="AQ212" s="174"/>
      <c r="AR212" s="174"/>
      <c r="AS212" s="174"/>
      <c r="AT212" s="174"/>
      <c r="AU212" s="174"/>
      <c r="AV212" s="174"/>
      <c r="AW212" s="176"/>
    </row>
    <row r="213" spans="1:58" s="129" customFormat="1" ht="25.5" x14ac:dyDescent="0.2">
      <c r="A213" s="174"/>
      <c r="B213" s="174"/>
      <c r="C213" s="174"/>
      <c r="D213" s="174"/>
      <c r="E213" s="174"/>
      <c r="F213" s="174"/>
      <c r="G213" s="174"/>
      <c r="H213" s="174"/>
      <c r="I213" s="174"/>
      <c r="J213" s="174"/>
      <c r="K213" s="174"/>
      <c r="L213" s="174"/>
      <c r="M213" s="174"/>
      <c r="N213" s="174"/>
      <c r="O213" s="174"/>
      <c r="P213" s="174"/>
      <c r="Q213" s="174"/>
      <c r="R213" s="174"/>
      <c r="S213" s="174"/>
      <c r="T213" s="174"/>
      <c r="U213" s="174"/>
      <c r="V213" s="174"/>
      <c r="W213" s="174"/>
      <c r="X213" s="171" t="s">
        <v>1383</v>
      </c>
      <c r="Y213" s="174" t="s">
        <v>1168</v>
      </c>
      <c r="Z213" s="174" t="s">
        <v>1151</v>
      </c>
      <c r="AA213" s="205"/>
      <c r="AB213" s="205"/>
      <c r="AC213" s="183" t="s">
        <v>1625</v>
      </c>
      <c r="AD213" s="183" t="s">
        <v>742</v>
      </c>
      <c r="AE213" s="190" t="s">
        <v>1624</v>
      </c>
      <c r="AF213" s="190" t="s">
        <v>1549</v>
      </c>
      <c r="AG213" s="183"/>
      <c r="AH213" s="174"/>
      <c r="AI213" s="192"/>
      <c r="AJ213" s="205"/>
      <c r="AK213" s="205"/>
      <c r="AL213" s="205"/>
      <c r="AM213" s="205"/>
      <c r="AN213" s="205"/>
      <c r="AO213" s="174"/>
      <c r="AP213" s="174"/>
      <c r="AQ213" s="174"/>
      <c r="AR213" s="174"/>
      <c r="AS213" s="174"/>
      <c r="AT213" s="174"/>
      <c r="AU213" s="174"/>
      <c r="AV213" s="174"/>
      <c r="AW213" s="176"/>
    </row>
    <row r="214" spans="1:58" s="129" customFormat="1" x14ac:dyDescent="0.2">
      <c r="A214" s="174"/>
      <c r="B214" s="174"/>
      <c r="C214" s="174"/>
      <c r="D214" s="174"/>
      <c r="E214" s="174"/>
      <c r="F214" s="174"/>
      <c r="G214" s="174"/>
      <c r="H214" s="174"/>
      <c r="I214" s="174"/>
      <c r="J214" s="174"/>
      <c r="K214" s="174"/>
      <c r="L214" s="174"/>
      <c r="M214" s="174"/>
      <c r="N214" s="174"/>
      <c r="O214" s="174"/>
      <c r="P214" s="174"/>
      <c r="Q214" s="174"/>
      <c r="R214" s="174"/>
      <c r="S214" s="174"/>
      <c r="T214" s="174"/>
      <c r="U214" s="174"/>
      <c r="V214" s="174"/>
      <c r="W214" s="174"/>
      <c r="X214" s="171" t="s">
        <v>1383</v>
      </c>
      <c r="Y214" s="174" t="s">
        <v>1168</v>
      </c>
      <c r="Z214" s="174" t="s">
        <v>1151</v>
      </c>
      <c r="AA214" s="205"/>
      <c r="AB214" s="205"/>
      <c r="AC214" s="174" t="s">
        <v>1453</v>
      </c>
      <c r="AD214" s="174" t="s">
        <v>742</v>
      </c>
      <c r="AE214" s="174" t="s">
        <v>1453</v>
      </c>
      <c r="AF214" s="174" t="s">
        <v>1549</v>
      </c>
      <c r="AG214" s="183"/>
      <c r="AH214" s="174"/>
      <c r="AI214" s="176"/>
      <c r="AJ214" s="205"/>
      <c r="AK214" s="205"/>
      <c r="AL214" s="205"/>
      <c r="AM214" s="205"/>
      <c r="AN214" s="205"/>
      <c r="AO214" s="174"/>
      <c r="AP214" s="174"/>
      <c r="AQ214" s="174"/>
      <c r="AR214" s="174"/>
      <c r="AS214" s="174"/>
      <c r="AT214" s="174"/>
      <c r="AU214" s="174"/>
      <c r="AV214" s="174"/>
      <c r="AW214" s="176"/>
    </row>
    <row r="215" spans="1:58" s="129" customFormat="1" x14ac:dyDescent="0.2">
      <c r="A215" s="174"/>
      <c r="B215" s="174"/>
      <c r="C215" s="174"/>
      <c r="D215" s="174"/>
      <c r="E215" s="174"/>
      <c r="F215" s="174"/>
      <c r="G215" s="174"/>
      <c r="H215" s="174"/>
      <c r="I215" s="174"/>
      <c r="J215" s="174"/>
      <c r="K215" s="174"/>
      <c r="L215" s="174"/>
      <c r="M215" s="174"/>
      <c r="N215" s="174"/>
      <c r="O215" s="174"/>
      <c r="P215" s="174"/>
      <c r="Q215" s="174"/>
      <c r="R215" s="174"/>
      <c r="S215" s="174"/>
      <c r="T215" s="174"/>
      <c r="U215" s="174"/>
      <c r="V215" s="174"/>
      <c r="W215" s="174"/>
      <c r="X215" s="171" t="s">
        <v>1383</v>
      </c>
      <c r="Y215" s="174" t="s">
        <v>1168</v>
      </c>
      <c r="Z215" s="174" t="s">
        <v>1151</v>
      </c>
      <c r="AA215" s="205"/>
      <c r="AB215" s="205"/>
      <c r="AC215" s="174" t="s">
        <v>1454</v>
      </c>
      <c r="AD215" s="174" t="s">
        <v>742</v>
      </c>
      <c r="AE215" s="174" t="s">
        <v>1454</v>
      </c>
      <c r="AF215" s="174" t="s">
        <v>1549</v>
      </c>
      <c r="AG215" s="183"/>
      <c r="AH215" s="174"/>
      <c r="AI215" s="176"/>
      <c r="AJ215" s="205"/>
      <c r="AK215" s="205"/>
      <c r="AL215" s="205"/>
      <c r="AM215" s="205"/>
      <c r="AN215" s="205"/>
      <c r="AO215" s="174"/>
      <c r="AP215" s="174"/>
      <c r="AQ215" s="174"/>
      <c r="AR215" s="174"/>
      <c r="AS215" s="174"/>
      <c r="AT215" s="174"/>
      <c r="AU215" s="174"/>
      <c r="AV215" s="174"/>
      <c r="AW215" s="176"/>
    </row>
    <row r="216" spans="1:58" s="129" customFormat="1" x14ac:dyDescent="0.2">
      <c r="A216" s="174"/>
      <c r="B216" s="174"/>
      <c r="C216" s="174"/>
      <c r="D216" s="174"/>
      <c r="E216" s="174"/>
      <c r="F216" s="174"/>
      <c r="G216" s="174"/>
      <c r="H216" s="174"/>
      <c r="I216" s="174"/>
      <c r="J216" s="174"/>
      <c r="K216" s="174"/>
      <c r="L216" s="174"/>
      <c r="M216" s="174"/>
      <c r="N216" s="174"/>
      <c r="O216" s="174"/>
      <c r="P216" s="174"/>
      <c r="Q216" s="174"/>
      <c r="R216" s="174"/>
      <c r="S216" s="174"/>
      <c r="T216" s="174"/>
      <c r="U216" s="174"/>
      <c r="V216" s="174"/>
      <c r="W216" s="174"/>
      <c r="X216" s="171" t="s">
        <v>1383</v>
      </c>
      <c r="Y216" s="174" t="s">
        <v>1168</v>
      </c>
      <c r="Z216" s="174" t="s">
        <v>1151</v>
      </c>
      <c r="AA216" s="205"/>
      <c r="AB216" s="205"/>
      <c r="AC216" s="174" t="s">
        <v>1455</v>
      </c>
      <c r="AD216" s="174" t="s">
        <v>742</v>
      </c>
      <c r="AE216" s="174" t="s">
        <v>1455</v>
      </c>
      <c r="AF216" s="174" t="s">
        <v>1549</v>
      </c>
      <c r="AG216" s="183"/>
      <c r="AH216" s="174"/>
      <c r="AI216" s="176"/>
      <c r="AJ216" s="205"/>
      <c r="AK216" s="205"/>
      <c r="AL216" s="205"/>
      <c r="AM216" s="205"/>
      <c r="AN216" s="205"/>
      <c r="AO216" s="174"/>
      <c r="AP216" s="174"/>
      <c r="AQ216" s="174"/>
      <c r="AR216" s="174"/>
      <c r="AS216" s="174"/>
      <c r="AT216" s="174"/>
      <c r="AU216" s="174"/>
      <c r="AV216" s="174"/>
      <c r="AW216" s="176"/>
    </row>
    <row r="217" spans="1:58" s="129" customFormat="1" x14ac:dyDescent="0.2">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205"/>
      <c r="AB217" s="205"/>
      <c r="AC217" s="183"/>
      <c r="AD217" s="183" t="s">
        <v>742</v>
      </c>
      <c r="AE217" s="190" t="s">
        <v>1336</v>
      </c>
      <c r="AF217" s="190" t="s">
        <v>1479</v>
      </c>
      <c r="AG217" s="183"/>
      <c r="AH217" s="183"/>
      <c r="AI217" s="192"/>
      <c r="AJ217" s="205"/>
      <c r="AK217" s="205"/>
      <c r="AL217" s="205"/>
      <c r="AM217" s="205"/>
      <c r="AN217" s="205"/>
      <c r="AO217" s="183"/>
      <c r="AP217" s="183"/>
      <c r="AQ217" s="183"/>
      <c r="AR217" s="183"/>
      <c r="AS217" s="183"/>
      <c r="AT217" s="183"/>
      <c r="AU217" s="183"/>
      <c r="AV217" s="183"/>
      <c r="AW217" s="185"/>
      <c r="AX217" s="130"/>
      <c r="AY217" s="130"/>
      <c r="AZ217" s="130"/>
      <c r="BA217" s="130"/>
      <c r="BB217" s="130"/>
      <c r="BC217" s="130"/>
      <c r="BD217" s="130"/>
      <c r="BE217" s="130"/>
      <c r="BF217" s="130"/>
    </row>
    <row r="218" spans="1:58" s="129" customFormat="1" x14ac:dyDescent="0.2">
      <c r="A218" s="213"/>
      <c r="B218" s="213"/>
      <c r="C218" s="213"/>
      <c r="D218" s="213"/>
      <c r="E218" s="213"/>
      <c r="F218" s="213"/>
      <c r="G218" s="213"/>
      <c r="H218" s="213"/>
      <c r="I218" s="213"/>
      <c r="J218" s="213"/>
      <c r="K218" s="213"/>
      <c r="L218" s="213"/>
      <c r="M218" s="213"/>
      <c r="N218" s="213"/>
      <c r="O218" s="213"/>
      <c r="P218" s="213"/>
      <c r="Q218" s="213"/>
      <c r="R218" s="213"/>
      <c r="S218" s="213"/>
      <c r="T218" s="213"/>
      <c r="U218" s="213"/>
      <c r="V218" s="213"/>
      <c r="W218" s="213"/>
      <c r="X218" s="213"/>
      <c r="Y218" s="213"/>
      <c r="Z218" s="213"/>
      <c r="AA218" s="205"/>
      <c r="AB218" s="205"/>
      <c r="AC218" s="213"/>
      <c r="AD218" s="213" t="s">
        <v>742</v>
      </c>
      <c r="AE218" s="190" t="s">
        <v>380</v>
      </c>
      <c r="AF218" s="190" t="s">
        <v>1479</v>
      </c>
      <c r="AG218" s="213"/>
      <c r="AH218" s="213"/>
      <c r="AI218" s="192"/>
      <c r="AJ218" s="205"/>
      <c r="AK218" s="205"/>
      <c r="AL218" s="205"/>
      <c r="AM218" s="205"/>
      <c r="AN218" s="205"/>
      <c r="AO218" s="183"/>
      <c r="AP218" s="183"/>
      <c r="AQ218" s="183"/>
      <c r="AR218" s="183"/>
      <c r="AS218" s="183"/>
      <c r="AT218" s="183"/>
      <c r="AU218" s="183"/>
      <c r="AV218" s="183"/>
      <c r="AW218" s="185"/>
      <c r="AX218" s="130"/>
      <c r="AY218" s="130"/>
      <c r="AZ218" s="130"/>
      <c r="BA218" s="130"/>
      <c r="BB218" s="130"/>
      <c r="BC218" s="130"/>
      <c r="BD218" s="130"/>
      <c r="BE218" s="130"/>
      <c r="BF218" s="130"/>
    </row>
    <row r="219" spans="1:58" s="129" customFormat="1" ht="76.5" x14ac:dyDescent="0.2">
      <c r="A219" s="180" t="s">
        <v>1416</v>
      </c>
      <c r="B219" s="180" t="s">
        <v>601</v>
      </c>
      <c r="C219" s="180" t="s">
        <v>507</v>
      </c>
      <c r="D219" s="181" t="s">
        <v>345</v>
      </c>
      <c r="E219" s="180" t="s">
        <v>22</v>
      </c>
      <c r="F219" s="180"/>
      <c r="G219" s="181" t="s">
        <v>157</v>
      </c>
      <c r="H219" s="181"/>
      <c r="I219" s="181" t="s">
        <v>594</v>
      </c>
      <c r="J219" s="181" t="s">
        <v>650</v>
      </c>
      <c r="K219" s="181" t="s">
        <v>572</v>
      </c>
      <c r="L219" s="181" t="s">
        <v>332</v>
      </c>
      <c r="M219" s="181" t="s">
        <v>157</v>
      </c>
      <c r="N219" s="181" t="s">
        <v>686</v>
      </c>
      <c r="O219" s="181" t="s">
        <v>548</v>
      </c>
      <c r="P219" s="194">
        <v>44278</v>
      </c>
      <c r="Q219" s="180" t="s">
        <v>572</v>
      </c>
      <c r="R219" s="180" t="s">
        <v>572</v>
      </c>
      <c r="S219" s="181" t="s">
        <v>36</v>
      </c>
      <c r="T219" s="180" t="s">
        <v>1206</v>
      </c>
      <c r="U219" s="181" t="s">
        <v>1211</v>
      </c>
      <c r="V219" s="180" t="s">
        <v>572</v>
      </c>
      <c r="W219" s="180"/>
      <c r="X219" s="180" t="s">
        <v>1383</v>
      </c>
      <c r="Y219" s="171" t="s">
        <v>1038</v>
      </c>
      <c r="Z219" s="174" t="s">
        <v>1143</v>
      </c>
      <c r="AA219" s="175" t="s">
        <v>572</v>
      </c>
      <c r="AB219" s="175" t="s">
        <v>742</v>
      </c>
      <c r="AC219" s="183" t="s">
        <v>572</v>
      </c>
      <c r="AD219" s="183" t="s">
        <v>1153</v>
      </c>
      <c r="AE219" s="183" t="s">
        <v>572</v>
      </c>
      <c r="AF219" s="183" t="s">
        <v>1549</v>
      </c>
      <c r="AG219" s="183" t="s">
        <v>157</v>
      </c>
      <c r="AH219" s="183"/>
      <c r="AI219" s="185" t="s">
        <v>963</v>
      </c>
      <c r="AJ219" s="198" t="s">
        <v>1153</v>
      </c>
      <c r="AK219" s="177" t="s">
        <v>1403</v>
      </c>
      <c r="AL219" s="177"/>
      <c r="AM219" s="177"/>
      <c r="AN219" s="177" t="s">
        <v>963</v>
      </c>
      <c r="AO219" s="183"/>
      <c r="AP219" s="183"/>
      <c r="AQ219" s="183"/>
      <c r="AR219" s="183"/>
      <c r="AS219" s="183"/>
      <c r="AT219" s="183"/>
      <c r="AU219" s="183"/>
      <c r="AV219" s="183"/>
      <c r="AW219" s="185"/>
      <c r="AX219" s="130"/>
      <c r="AY219" s="130"/>
      <c r="AZ219" s="130"/>
      <c r="BA219" s="130"/>
      <c r="BB219" s="130"/>
      <c r="BC219" s="130"/>
      <c r="BD219" s="130"/>
      <c r="BE219" s="130"/>
      <c r="BF219" s="130"/>
    </row>
    <row r="220" spans="1:58" s="129" customFormat="1" ht="38.25" x14ac:dyDescent="0.2">
      <c r="A220" s="180" t="s">
        <v>1416</v>
      </c>
      <c r="B220" s="180" t="s">
        <v>601</v>
      </c>
      <c r="C220" s="180" t="s">
        <v>507</v>
      </c>
      <c r="D220" s="181" t="s">
        <v>345</v>
      </c>
      <c r="E220" s="180" t="s">
        <v>749</v>
      </c>
      <c r="F220" s="180"/>
      <c r="G220" s="181" t="s">
        <v>157</v>
      </c>
      <c r="H220" s="181" t="s">
        <v>724</v>
      </c>
      <c r="I220" s="181" t="s">
        <v>594</v>
      </c>
      <c r="J220" s="181" t="s">
        <v>650</v>
      </c>
      <c r="K220" s="181" t="s">
        <v>574</v>
      </c>
      <c r="L220" s="180" t="s">
        <v>332</v>
      </c>
      <c r="M220" s="180"/>
      <c r="N220" s="181" t="s">
        <v>743</v>
      </c>
      <c r="O220" s="181"/>
      <c r="P220" s="194">
        <v>44278</v>
      </c>
      <c r="Q220" s="180" t="s">
        <v>946</v>
      </c>
      <c r="R220" s="180" t="s">
        <v>946</v>
      </c>
      <c r="S220" s="181" t="s">
        <v>36</v>
      </c>
      <c r="T220" s="180" t="s">
        <v>1206</v>
      </c>
      <c r="U220" s="180" t="s">
        <v>1212</v>
      </c>
      <c r="V220" s="180" t="s">
        <v>574</v>
      </c>
      <c r="W220" s="180"/>
      <c r="X220" s="180" t="s">
        <v>1383</v>
      </c>
      <c r="Y220" s="171" t="s">
        <v>1038</v>
      </c>
      <c r="Z220" s="174" t="s">
        <v>1143</v>
      </c>
      <c r="AA220" s="175" t="s">
        <v>574</v>
      </c>
      <c r="AB220" s="175" t="s">
        <v>742</v>
      </c>
      <c r="AC220" s="183" t="s">
        <v>574</v>
      </c>
      <c r="AD220" s="183" t="s">
        <v>1153</v>
      </c>
      <c r="AE220" s="183" t="s">
        <v>332</v>
      </c>
      <c r="AF220" s="183" t="s">
        <v>1549</v>
      </c>
      <c r="AG220" s="183"/>
      <c r="AH220" s="183"/>
      <c r="AI220" s="185" t="s">
        <v>977</v>
      </c>
      <c r="AJ220" s="198" t="s">
        <v>1153</v>
      </c>
      <c r="AK220" s="177" t="s">
        <v>332</v>
      </c>
      <c r="AL220" s="177"/>
      <c r="AM220" s="177"/>
      <c r="AN220" s="177" t="s">
        <v>977</v>
      </c>
      <c r="AO220" s="183"/>
      <c r="AP220" s="183"/>
      <c r="AQ220" s="183"/>
      <c r="AR220" s="183"/>
      <c r="AS220" s="183"/>
      <c r="AT220" s="183"/>
      <c r="AU220" s="183"/>
      <c r="AV220" s="183"/>
      <c r="AW220" s="185"/>
      <c r="AX220" s="130"/>
      <c r="AY220" s="130"/>
      <c r="AZ220" s="130"/>
      <c r="BA220" s="130"/>
      <c r="BB220" s="130"/>
      <c r="BC220" s="130"/>
      <c r="BD220" s="130"/>
      <c r="BE220" s="130"/>
      <c r="BF220" s="130"/>
    </row>
    <row r="221" spans="1:58" s="129" customFormat="1" ht="76.5" x14ac:dyDescent="0.2">
      <c r="A221" s="171" t="s">
        <v>1416</v>
      </c>
      <c r="B221" s="171" t="s">
        <v>601</v>
      </c>
      <c r="C221" s="171" t="s">
        <v>507</v>
      </c>
      <c r="D221" s="172" t="s">
        <v>345</v>
      </c>
      <c r="E221" s="172" t="s">
        <v>750</v>
      </c>
      <c r="F221" s="172"/>
      <c r="G221" s="172" t="s">
        <v>179</v>
      </c>
      <c r="H221" s="172" t="s">
        <v>726</v>
      </c>
      <c r="I221" s="172" t="s">
        <v>594</v>
      </c>
      <c r="J221" s="172" t="s">
        <v>650</v>
      </c>
      <c r="K221" s="171" t="s">
        <v>886</v>
      </c>
      <c r="L221" s="171" t="s">
        <v>729</v>
      </c>
      <c r="M221" s="172" t="s">
        <v>256</v>
      </c>
      <c r="N221" s="172" t="s">
        <v>1067</v>
      </c>
      <c r="O221" s="172"/>
      <c r="P221" s="178">
        <v>44278</v>
      </c>
      <c r="Q221" s="171" t="s">
        <v>948</v>
      </c>
      <c r="R221" s="171" t="s">
        <v>948</v>
      </c>
      <c r="S221" s="172"/>
      <c r="T221" s="171" t="s">
        <v>1206</v>
      </c>
      <c r="U221" s="171" t="s">
        <v>1212</v>
      </c>
      <c r="V221" s="171" t="str">
        <f>R221</f>
        <v>serviceDeliveryTasks_startTime</v>
      </c>
      <c r="W221" s="171"/>
      <c r="X221" s="171" t="s">
        <v>1383</v>
      </c>
      <c r="Y221" s="171" t="s">
        <v>1038</v>
      </c>
      <c r="Z221" s="174" t="s">
        <v>1143</v>
      </c>
      <c r="AA221" s="175" t="s">
        <v>886</v>
      </c>
      <c r="AB221" s="175" t="s">
        <v>742</v>
      </c>
      <c r="AC221" s="174" t="s">
        <v>886</v>
      </c>
      <c r="AD221" s="174" t="s">
        <v>1153</v>
      </c>
      <c r="AE221" s="174" t="s">
        <v>729</v>
      </c>
      <c r="AF221" s="174" t="s">
        <v>1479</v>
      </c>
      <c r="AG221" s="174" t="s">
        <v>256</v>
      </c>
      <c r="AH221" s="174"/>
      <c r="AI221" s="176" t="s">
        <v>963</v>
      </c>
      <c r="AJ221" s="198" t="s">
        <v>1153</v>
      </c>
      <c r="AK221" s="177" t="s">
        <v>729</v>
      </c>
      <c r="AL221" s="177"/>
      <c r="AM221" s="177"/>
      <c r="AN221" s="177" t="s">
        <v>963</v>
      </c>
      <c r="AO221" s="171" t="s">
        <v>1383</v>
      </c>
      <c r="AP221" s="174" t="s">
        <v>1038</v>
      </c>
      <c r="AQ221" s="174" t="s">
        <v>1428</v>
      </c>
      <c r="AR221" s="174" t="s">
        <v>886</v>
      </c>
      <c r="AS221" s="174" t="s">
        <v>1429</v>
      </c>
      <c r="AT221" s="174" t="s">
        <v>729</v>
      </c>
      <c r="AU221" s="174" t="s">
        <v>256</v>
      </c>
      <c r="AV221" s="174"/>
      <c r="AW221" s="176" t="s">
        <v>963</v>
      </c>
      <c r="AX221" s="130"/>
      <c r="AY221" s="130"/>
      <c r="AZ221" s="130"/>
      <c r="BA221" s="130"/>
      <c r="BB221" s="130"/>
      <c r="BC221" s="130"/>
      <c r="BD221" s="130"/>
      <c r="BE221" s="130"/>
      <c r="BF221" s="130"/>
    </row>
    <row r="222" spans="1:58" s="129" customFormat="1" ht="76.5" x14ac:dyDescent="0.2">
      <c r="A222" s="171" t="s">
        <v>1416</v>
      </c>
      <c r="B222" s="171" t="s">
        <v>601</v>
      </c>
      <c r="C222" s="171" t="s">
        <v>507</v>
      </c>
      <c r="D222" s="172" t="s">
        <v>345</v>
      </c>
      <c r="E222" s="172" t="s">
        <v>752</v>
      </c>
      <c r="F222" s="172"/>
      <c r="G222" s="172" t="s">
        <v>179</v>
      </c>
      <c r="H222" s="172" t="s">
        <v>727</v>
      </c>
      <c r="I222" s="172" t="s">
        <v>594</v>
      </c>
      <c r="J222" s="172" t="s">
        <v>650</v>
      </c>
      <c r="K222" s="171" t="s">
        <v>887</v>
      </c>
      <c r="L222" s="171" t="s">
        <v>730</v>
      </c>
      <c r="M222" s="172" t="s">
        <v>256</v>
      </c>
      <c r="N222" s="172" t="s">
        <v>1068</v>
      </c>
      <c r="O222" s="172"/>
      <c r="P222" s="178">
        <v>44278</v>
      </c>
      <c r="Q222" s="171" t="s">
        <v>949</v>
      </c>
      <c r="R222" s="171" t="s">
        <v>949</v>
      </c>
      <c r="S222" s="172"/>
      <c r="T222" s="171" t="s">
        <v>1206</v>
      </c>
      <c r="U222" s="171" t="s">
        <v>1212</v>
      </c>
      <c r="V222" s="171" t="str">
        <f>R222</f>
        <v>serviceDeliveryTasks_endTime</v>
      </c>
      <c r="W222" s="171"/>
      <c r="X222" s="171" t="s">
        <v>1383</v>
      </c>
      <c r="Y222" s="171" t="s">
        <v>1038</v>
      </c>
      <c r="Z222" s="174" t="s">
        <v>1143</v>
      </c>
      <c r="AA222" s="175" t="s">
        <v>887</v>
      </c>
      <c r="AB222" s="175" t="s">
        <v>742</v>
      </c>
      <c r="AC222" s="174" t="s">
        <v>887</v>
      </c>
      <c r="AD222" s="174" t="s">
        <v>1153</v>
      </c>
      <c r="AE222" s="174" t="s">
        <v>730</v>
      </c>
      <c r="AF222" s="174" t="s">
        <v>1479</v>
      </c>
      <c r="AG222" s="174" t="s">
        <v>256</v>
      </c>
      <c r="AH222" s="174"/>
      <c r="AI222" s="176" t="s">
        <v>963</v>
      </c>
      <c r="AJ222" s="198" t="s">
        <v>1153</v>
      </c>
      <c r="AK222" s="177" t="s">
        <v>730</v>
      </c>
      <c r="AL222" s="177"/>
      <c r="AM222" s="177"/>
      <c r="AN222" s="177" t="s">
        <v>963</v>
      </c>
      <c r="AO222" s="171" t="s">
        <v>1383</v>
      </c>
      <c r="AP222" s="174" t="s">
        <v>1038</v>
      </c>
      <c r="AQ222" s="174" t="s">
        <v>1428</v>
      </c>
      <c r="AR222" s="174" t="s">
        <v>887</v>
      </c>
      <c r="AS222" s="174" t="s">
        <v>1429</v>
      </c>
      <c r="AT222" s="174" t="s">
        <v>730</v>
      </c>
      <c r="AU222" s="174" t="s">
        <v>256</v>
      </c>
      <c r="AV222" s="174"/>
      <c r="AW222" s="176" t="s">
        <v>963</v>
      </c>
      <c r="AX222" s="130"/>
      <c r="AY222" s="130"/>
      <c r="AZ222" s="130"/>
      <c r="BA222" s="130"/>
      <c r="BB222" s="130"/>
      <c r="BC222" s="130"/>
      <c r="BD222" s="130"/>
      <c r="BE222" s="130"/>
      <c r="BF222" s="130"/>
    </row>
    <row r="223" spans="1:58" s="129" customFormat="1" ht="38.25" x14ac:dyDescent="0.2">
      <c r="A223" s="213"/>
      <c r="B223" s="213"/>
      <c r="C223" s="213"/>
      <c r="D223" s="213"/>
      <c r="E223" s="213"/>
      <c r="F223" s="213"/>
      <c r="G223" s="213"/>
      <c r="H223" s="213"/>
      <c r="I223" s="213"/>
      <c r="J223" s="181" t="s">
        <v>650</v>
      </c>
      <c r="K223" s="181"/>
      <c r="L223" s="183"/>
      <c r="M223" s="183"/>
      <c r="N223" s="183"/>
      <c r="O223" s="183"/>
      <c r="P223" s="183"/>
      <c r="Q223" s="183"/>
      <c r="R223" s="183"/>
      <c r="S223" s="183"/>
      <c r="T223" s="183" t="s">
        <v>1206</v>
      </c>
      <c r="U223" s="183" t="s">
        <v>1212</v>
      </c>
      <c r="V223" s="183" t="s">
        <v>1388</v>
      </c>
      <c r="W223" s="183" t="s">
        <v>1075</v>
      </c>
      <c r="X223" s="181" t="s">
        <v>1383</v>
      </c>
      <c r="Y223" s="213" t="s">
        <v>1038</v>
      </c>
      <c r="Z223" s="213" t="s">
        <v>1391</v>
      </c>
      <c r="AA223" s="205" t="str">
        <f>AC223</f>
        <v>taskDuration</v>
      </c>
      <c r="AB223" s="205"/>
      <c r="AC223" s="181" t="s">
        <v>1388</v>
      </c>
      <c r="AD223" s="183" t="s">
        <v>1153</v>
      </c>
      <c r="AE223" s="213" t="s">
        <v>1388</v>
      </c>
      <c r="AF223" s="213" t="s">
        <v>1549</v>
      </c>
      <c r="AG223" s="213"/>
      <c r="AH223" s="213"/>
      <c r="AI223" s="183" t="s">
        <v>1509</v>
      </c>
      <c r="AJ223" s="198" t="s">
        <v>1412</v>
      </c>
      <c r="AK223" s="177" t="s">
        <v>963</v>
      </c>
      <c r="AL223" s="177"/>
      <c r="AM223" s="198"/>
      <c r="AN223" s="177" t="s">
        <v>963</v>
      </c>
      <c r="AO223" s="181" t="s">
        <v>1383</v>
      </c>
      <c r="AP223" s="213" t="s">
        <v>1038</v>
      </c>
      <c r="AQ223" s="213" t="s">
        <v>1424</v>
      </c>
      <c r="AR223" s="181" t="s">
        <v>1388</v>
      </c>
      <c r="AS223" s="213" t="s">
        <v>1430</v>
      </c>
      <c r="AT223" s="213" t="s">
        <v>963</v>
      </c>
      <c r="AU223" s="213"/>
      <c r="AV223" s="213"/>
      <c r="AW223" s="192" t="s">
        <v>963</v>
      </c>
      <c r="AX223" s="151"/>
      <c r="AY223" s="151"/>
      <c r="AZ223" s="151"/>
      <c r="BA223" s="151"/>
      <c r="BB223" s="151"/>
      <c r="BC223" s="151"/>
      <c r="BD223" s="151"/>
      <c r="BE223" s="151"/>
      <c r="BF223" s="151"/>
    </row>
    <row r="224" spans="1:58" s="129" customFormat="1" x14ac:dyDescent="0.2">
      <c r="A224" s="174"/>
      <c r="B224" s="174"/>
      <c r="C224" s="174"/>
      <c r="D224" s="174"/>
      <c r="E224" s="174"/>
      <c r="F224" s="174"/>
      <c r="G224" s="174"/>
      <c r="H224" s="174"/>
      <c r="I224" s="174"/>
      <c r="J224" s="174"/>
      <c r="K224" s="174"/>
      <c r="L224" s="174"/>
      <c r="M224" s="174"/>
      <c r="N224" s="174"/>
      <c r="O224" s="174"/>
      <c r="P224" s="174"/>
      <c r="Q224" s="174"/>
      <c r="R224" s="174"/>
      <c r="S224" s="174"/>
      <c r="T224" s="174"/>
      <c r="U224" s="174"/>
      <c r="V224" s="174"/>
      <c r="W224" s="174"/>
      <c r="X224" s="174"/>
      <c r="Y224" s="174"/>
      <c r="Z224" s="174"/>
      <c r="AA224" s="205"/>
      <c r="AB224" s="205" t="s">
        <v>1413</v>
      </c>
      <c r="AC224" s="174"/>
      <c r="AD224" s="174" t="s">
        <v>1153</v>
      </c>
      <c r="AE224" s="174" t="s">
        <v>1609</v>
      </c>
      <c r="AF224" s="174" t="s">
        <v>1479</v>
      </c>
      <c r="AG224" s="183"/>
      <c r="AH224" s="174" t="s">
        <v>1607</v>
      </c>
      <c r="AI224" s="176"/>
      <c r="AJ224" s="198"/>
      <c r="AK224" s="198"/>
      <c r="AL224" s="177"/>
      <c r="AM224" s="198"/>
      <c r="AN224" s="198"/>
      <c r="AO224" s="174"/>
      <c r="AP224" s="174"/>
      <c r="AQ224" s="174"/>
      <c r="AR224" s="174"/>
      <c r="AS224" s="174"/>
      <c r="AT224" s="174"/>
      <c r="AU224" s="174"/>
      <c r="AV224" s="174"/>
      <c r="AW224" s="176" t="s">
        <v>963</v>
      </c>
      <c r="AX224" s="130"/>
      <c r="AY224" s="130"/>
      <c r="AZ224" s="130"/>
      <c r="BA224" s="130"/>
      <c r="BB224" s="130"/>
      <c r="BC224" s="130"/>
      <c r="BD224" s="130"/>
      <c r="BE224" s="130"/>
      <c r="BF224" s="130"/>
    </row>
    <row r="225" spans="1:58" s="129" customFormat="1" x14ac:dyDescent="0.2">
      <c r="A225" s="174"/>
      <c r="B225" s="174"/>
      <c r="C225" s="174"/>
      <c r="D225" s="174"/>
      <c r="E225" s="174"/>
      <c r="F225" s="174"/>
      <c r="G225" s="174"/>
      <c r="H225" s="174"/>
      <c r="I225" s="174"/>
      <c r="J225" s="174"/>
      <c r="K225" s="174"/>
      <c r="L225" s="174"/>
      <c r="M225" s="174"/>
      <c r="N225" s="174"/>
      <c r="O225" s="174"/>
      <c r="P225" s="174"/>
      <c r="Q225" s="174"/>
      <c r="R225" s="174"/>
      <c r="S225" s="174"/>
      <c r="T225" s="174"/>
      <c r="U225" s="174"/>
      <c r="V225" s="174"/>
      <c r="W225" s="174"/>
      <c r="X225" s="174"/>
      <c r="Y225" s="174"/>
      <c r="Z225" s="174"/>
      <c r="AA225" s="205"/>
      <c r="AB225" s="205" t="s">
        <v>1413</v>
      </c>
      <c r="AC225" s="174"/>
      <c r="AD225" s="174" t="s">
        <v>1153</v>
      </c>
      <c r="AE225" s="174" t="s">
        <v>1125</v>
      </c>
      <c r="AF225" s="174" t="s">
        <v>1479</v>
      </c>
      <c r="AG225" s="183"/>
      <c r="AH225" s="174" t="s">
        <v>1608</v>
      </c>
      <c r="AI225" s="176"/>
      <c r="AJ225" s="198"/>
      <c r="AK225" s="198"/>
      <c r="AL225" s="177"/>
      <c r="AM225" s="198"/>
      <c r="AN225" s="198"/>
      <c r="AO225" s="174"/>
      <c r="AP225" s="174"/>
      <c r="AQ225" s="174"/>
      <c r="AR225" s="174"/>
      <c r="AS225" s="174"/>
      <c r="AT225" s="174"/>
      <c r="AU225" s="174"/>
      <c r="AV225" s="174"/>
      <c r="AW225" s="176" t="s">
        <v>963</v>
      </c>
      <c r="AX225" s="130"/>
      <c r="AY225" s="130"/>
      <c r="AZ225" s="130"/>
      <c r="BA225" s="130"/>
      <c r="BB225" s="130"/>
      <c r="BC225" s="130"/>
      <c r="BD225" s="130"/>
      <c r="BE225" s="130"/>
      <c r="BF225" s="130"/>
    </row>
    <row r="226" spans="1:58" s="129" customFormat="1" x14ac:dyDescent="0.2">
      <c r="A226" s="174"/>
      <c r="B226" s="174"/>
      <c r="C226" s="174"/>
      <c r="D226" s="174"/>
      <c r="E226" s="174"/>
      <c r="F226" s="174"/>
      <c r="G226" s="174"/>
      <c r="H226" s="174"/>
      <c r="I226" s="174"/>
      <c r="J226" s="174"/>
      <c r="K226" s="174"/>
      <c r="L226" s="174"/>
      <c r="M226" s="174"/>
      <c r="N226" s="174"/>
      <c r="O226" s="174"/>
      <c r="P226" s="174"/>
      <c r="Q226" s="174"/>
      <c r="R226" s="174"/>
      <c r="S226" s="174"/>
      <c r="T226" s="174"/>
      <c r="U226" s="174"/>
      <c r="V226" s="174"/>
      <c r="W226" s="174"/>
      <c r="X226" s="174"/>
      <c r="Y226" s="174"/>
      <c r="Z226" s="174"/>
      <c r="AA226" s="205"/>
      <c r="AB226" s="205" t="s">
        <v>1413</v>
      </c>
      <c r="AC226" s="174"/>
      <c r="AD226" s="174" t="s">
        <v>1153</v>
      </c>
      <c r="AE226" s="174" t="s">
        <v>1266</v>
      </c>
      <c r="AF226" s="174" t="s">
        <v>1479</v>
      </c>
      <c r="AG226" s="183"/>
      <c r="AH226" s="174" t="s">
        <v>1606</v>
      </c>
      <c r="AI226" s="176"/>
      <c r="AJ226" s="198"/>
      <c r="AK226" s="198"/>
      <c r="AL226" s="198"/>
      <c r="AM226" s="198"/>
      <c r="AN226" s="198"/>
      <c r="AO226" s="174"/>
      <c r="AP226" s="174"/>
      <c r="AQ226" s="174"/>
      <c r="AR226" s="174"/>
      <c r="AS226" s="174"/>
      <c r="AT226" s="174"/>
      <c r="AU226" s="174"/>
      <c r="AV226" s="174"/>
      <c r="AW226" s="176" t="s">
        <v>963</v>
      </c>
      <c r="AX226" s="130"/>
      <c r="AY226" s="130"/>
      <c r="AZ226" s="130"/>
      <c r="BA226" s="130"/>
      <c r="BB226" s="130"/>
      <c r="BC226" s="130"/>
      <c r="BD226" s="130"/>
      <c r="BE226" s="130"/>
      <c r="BF226" s="130"/>
    </row>
    <row r="227" spans="1:58" s="129" customFormat="1" x14ac:dyDescent="0.2">
      <c r="A227" s="174"/>
      <c r="B227" s="174"/>
      <c r="C227" s="174"/>
      <c r="D227" s="174"/>
      <c r="E227" s="174"/>
      <c r="F227" s="174"/>
      <c r="G227" s="174"/>
      <c r="H227" s="174"/>
      <c r="I227" s="174"/>
      <c r="J227" s="174"/>
      <c r="K227" s="174"/>
      <c r="L227" s="174"/>
      <c r="M227" s="174"/>
      <c r="N227" s="174"/>
      <c r="O227" s="174"/>
      <c r="P227" s="174"/>
      <c r="Q227" s="174"/>
      <c r="R227" s="174"/>
      <c r="S227" s="174"/>
      <c r="T227" s="174"/>
      <c r="U227" s="174"/>
      <c r="V227" s="174"/>
      <c r="W227" s="174"/>
      <c r="X227" s="174"/>
      <c r="Y227" s="174"/>
      <c r="Z227" s="174"/>
      <c r="AA227" s="205"/>
      <c r="AB227" s="205" t="s">
        <v>1413</v>
      </c>
      <c r="AC227" s="174"/>
      <c r="AD227" s="174" t="s">
        <v>1153</v>
      </c>
      <c r="AE227" s="174" t="s">
        <v>1337</v>
      </c>
      <c r="AF227" s="174" t="s">
        <v>1479</v>
      </c>
      <c r="AG227" s="183"/>
      <c r="AH227" s="174" t="s">
        <v>1612</v>
      </c>
      <c r="AI227" s="176"/>
      <c r="AJ227" s="198"/>
      <c r="AK227" s="198"/>
      <c r="AL227" s="198"/>
      <c r="AM227" s="198"/>
      <c r="AN227" s="198"/>
      <c r="AO227" s="174"/>
      <c r="AP227" s="174"/>
      <c r="AQ227" s="174"/>
      <c r="AR227" s="174"/>
      <c r="AS227" s="174"/>
      <c r="AT227" s="174"/>
      <c r="AU227" s="174"/>
      <c r="AV227" s="174"/>
      <c r="AW227" s="176" t="s">
        <v>963</v>
      </c>
      <c r="AX227" s="130"/>
      <c r="AY227" s="130"/>
      <c r="AZ227" s="130"/>
      <c r="BA227" s="130"/>
      <c r="BB227" s="130"/>
      <c r="BC227" s="130"/>
      <c r="BD227" s="130"/>
      <c r="BE227" s="130"/>
      <c r="BF227" s="130"/>
    </row>
    <row r="228" spans="1:58" s="129" customFormat="1" x14ac:dyDescent="0.2">
      <c r="A228" s="174"/>
      <c r="B228" s="174"/>
      <c r="C228" s="174"/>
      <c r="D228" s="174"/>
      <c r="E228" s="174"/>
      <c r="F228" s="174"/>
      <c r="G228" s="174"/>
      <c r="H228" s="174"/>
      <c r="I228" s="174"/>
      <c r="J228" s="174"/>
      <c r="K228" s="174"/>
      <c r="L228" s="174"/>
      <c r="M228" s="174"/>
      <c r="N228" s="174"/>
      <c r="O228" s="174"/>
      <c r="P228" s="174"/>
      <c r="Q228" s="174"/>
      <c r="R228" s="174"/>
      <c r="S228" s="174"/>
      <c r="T228" s="174"/>
      <c r="U228" s="174"/>
      <c r="V228" s="174"/>
      <c r="W228" s="174"/>
      <c r="X228" s="174"/>
      <c r="Y228" s="174"/>
      <c r="Z228" s="174"/>
      <c r="AA228" s="205"/>
      <c r="AB228" s="205" t="s">
        <v>1413</v>
      </c>
      <c r="AC228" s="174"/>
      <c r="AD228" s="174" t="s">
        <v>1153</v>
      </c>
      <c r="AE228" s="174" t="s">
        <v>1414</v>
      </c>
      <c r="AF228" s="174" t="s">
        <v>1479</v>
      </c>
      <c r="AG228" s="183"/>
      <c r="AH228" s="174" t="s">
        <v>1611</v>
      </c>
      <c r="AI228" s="176"/>
      <c r="AJ228" s="198"/>
      <c r="AK228" s="198"/>
      <c r="AL228" s="198"/>
      <c r="AM228" s="198"/>
      <c r="AN228" s="198"/>
      <c r="AO228" s="174"/>
      <c r="AP228" s="174"/>
      <c r="AQ228" s="174"/>
      <c r="AR228" s="174"/>
      <c r="AS228" s="174"/>
      <c r="AT228" s="174"/>
      <c r="AU228" s="174"/>
      <c r="AV228" s="174"/>
      <c r="AW228" s="176"/>
      <c r="AX228" s="130"/>
      <c r="AY228" s="130"/>
      <c r="AZ228" s="130"/>
      <c r="BA228" s="130"/>
      <c r="BB228" s="130"/>
      <c r="BC228" s="130"/>
      <c r="BD228" s="130"/>
      <c r="BE228" s="130"/>
      <c r="BF228" s="130"/>
    </row>
    <row r="229" spans="1:58" x14ac:dyDescent="0.2">
      <c r="A229" s="174"/>
      <c r="B229" s="174"/>
      <c r="C229" s="174"/>
      <c r="D229" s="174"/>
      <c r="E229" s="174"/>
      <c r="F229" s="174"/>
      <c r="G229" s="174"/>
      <c r="H229" s="174"/>
      <c r="I229" s="174"/>
      <c r="J229" s="174"/>
      <c r="K229" s="174"/>
      <c r="L229" s="174"/>
      <c r="M229" s="174"/>
      <c r="N229" s="174"/>
      <c r="O229" s="174"/>
      <c r="P229" s="174"/>
      <c r="Q229" s="174"/>
      <c r="R229" s="174"/>
      <c r="S229" s="174"/>
      <c r="T229" s="174"/>
      <c r="U229" s="174"/>
      <c r="V229" s="174"/>
      <c r="W229" s="174"/>
      <c r="X229" s="174"/>
      <c r="Y229" s="174"/>
      <c r="Z229" s="174"/>
      <c r="AA229" s="205"/>
      <c r="AB229" s="205" t="s">
        <v>1413</v>
      </c>
      <c r="AC229" s="174"/>
      <c r="AD229" s="174" t="s">
        <v>1153</v>
      </c>
      <c r="AE229" s="174" t="s">
        <v>1264</v>
      </c>
      <c r="AF229" s="174" t="s">
        <v>1479</v>
      </c>
      <c r="AG229" s="183"/>
      <c r="AH229" s="174" t="s">
        <v>1610</v>
      </c>
      <c r="AI229" s="176"/>
      <c r="AJ229" s="198"/>
      <c r="AK229" s="198"/>
      <c r="AL229" s="198"/>
      <c r="AM229" s="198"/>
      <c r="AN229" s="198"/>
      <c r="AO229" s="174"/>
      <c r="AP229" s="174"/>
      <c r="AQ229" s="174"/>
      <c r="AR229" s="174"/>
      <c r="AS229" s="174"/>
      <c r="AT229" s="174"/>
      <c r="AU229" s="174"/>
      <c r="AV229" s="174"/>
      <c r="AW229" s="176"/>
    </row>
    <row r="230" spans="1:58" x14ac:dyDescent="0.2">
      <c r="A230" s="174"/>
      <c r="B230" s="174"/>
      <c r="C230" s="174"/>
      <c r="D230" s="174"/>
      <c r="E230" s="174"/>
      <c r="F230" s="174"/>
      <c r="G230" s="174"/>
      <c r="H230" s="174"/>
      <c r="I230" s="174"/>
      <c r="J230" s="174"/>
      <c r="K230" s="174"/>
      <c r="L230" s="174"/>
      <c r="M230" s="174"/>
      <c r="N230" s="174"/>
      <c r="O230" s="174"/>
      <c r="P230" s="174"/>
      <c r="Q230" s="174"/>
      <c r="R230" s="174"/>
      <c r="S230" s="174"/>
      <c r="T230" s="174"/>
      <c r="U230" s="174"/>
      <c r="V230" s="174"/>
      <c r="W230" s="174"/>
      <c r="X230" s="181" t="s">
        <v>1383</v>
      </c>
      <c r="Y230" s="213" t="s">
        <v>1038</v>
      </c>
      <c r="Z230" s="174" t="s">
        <v>1143</v>
      </c>
      <c r="AA230" s="205"/>
      <c r="AB230" s="205"/>
      <c r="AC230" s="174" t="s">
        <v>1131</v>
      </c>
      <c r="AD230" s="174" t="s">
        <v>1153</v>
      </c>
      <c r="AE230" s="174" t="s">
        <v>1536</v>
      </c>
      <c r="AF230" s="174" t="s">
        <v>1479</v>
      </c>
      <c r="AG230" s="183"/>
      <c r="AH230" s="174"/>
      <c r="AI230" s="176" t="s">
        <v>1422</v>
      </c>
      <c r="AJ230" s="198"/>
      <c r="AK230" s="198"/>
      <c r="AL230" s="198"/>
      <c r="AM230" s="198"/>
      <c r="AN230" s="198"/>
      <c r="AO230" s="174"/>
      <c r="AP230" s="174"/>
      <c r="AQ230" s="174"/>
      <c r="AR230" s="174"/>
      <c r="AS230" s="174"/>
      <c r="AT230" s="174"/>
      <c r="AU230" s="174"/>
      <c r="AV230" s="174"/>
      <c r="AW230" s="176"/>
    </row>
    <row r="231" spans="1:58" x14ac:dyDescent="0.2">
      <c r="A231" s="174"/>
      <c r="B231" s="174"/>
      <c r="C231" s="174"/>
      <c r="D231" s="174"/>
      <c r="E231" s="174"/>
      <c r="F231" s="174"/>
      <c r="G231" s="174"/>
      <c r="H231" s="174"/>
      <c r="I231" s="174"/>
      <c r="J231" s="174"/>
      <c r="K231" s="174"/>
      <c r="L231" s="174"/>
      <c r="M231" s="174"/>
      <c r="N231" s="174"/>
      <c r="O231" s="174"/>
      <c r="P231" s="174"/>
      <c r="Q231" s="174"/>
      <c r="R231" s="174"/>
      <c r="S231" s="174"/>
      <c r="T231" s="174"/>
      <c r="U231" s="174"/>
      <c r="V231" s="174"/>
      <c r="W231" s="174"/>
      <c r="X231" s="181" t="s">
        <v>1383</v>
      </c>
      <c r="Y231" s="213" t="s">
        <v>1038</v>
      </c>
      <c r="Z231" s="174" t="s">
        <v>1143</v>
      </c>
      <c r="AA231" s="205"/>
      <c r="AB231" s="205"/>
      <c r="AC231" s="174" t="s">
        <v>1435</v>
      </c>
      <c r="AD231" s="174" t="s">
        <v>1153</v>
      </c>
      <c r="AE231" s="174" t="s">
        <v>1537</v>
      </c>
      <c r="AF231" s="174" t="s">
        <v>1479</v>
      </c>
      <c r="AG231" s="183"/>
      <c r="AH231" s="174" t="s">
        <v>1615</v>
      </c>
      <c r="AI231" s="176" t="s">
        <v>1436</v>
      </c>
      <c r="AJ231" s="198"/>
      <c r="AK231" s="198"/>
      <c r="AL231" s="198"/>
      <c r="AM231" s="198"/>
      <c r="AN231" s="198"/>
      <c r="AO231" s="174"/>
      <c r="AP231" s="174"/>
      <c r="AQ231" s="174"/>
      <c r="AR231" s="174"/>
      <c r="AS231" s="174"/>
      <c r="AT231" s="174"/>
      <c r="AU231" s="174"/>
      <c r="AV231" s="174"/>
      <c r="AW231" s="176"/>
    </row>
    <row r="232" spans="1:58" s="151" customFormat="1" x14ac:dyDescent="0.2">
      <c r="A232" s="174"/>
      <c r="B232" s="174"/>
      <c r="C232" s="174"/>
      <c r="D232" s="174"/>
      <c r="E232" s="174"/>
      <c r="F232" s="174"/>
      <c r="G232" s="174"/>
      <c r="H232" s="174"/>
      <c r="I232" s="174"/>
      <c r="J232" s="174"/>
      <c r="K232" s="174"/>
      <c r="L232" s="174"/>
      <c r="M232" s="174"/>
      <c r="N232" s="174"/>
      <c r="O232" s="174"/>
      <c r="P232" s="174"/>
      <c r="Q232" s="174"/>
      <c r="R232" s="174"/>
      <c r="S232" s="174"/>
      <c r="T232" s="174"/>
      <c r="U232" s="174"/>
      <c r="V232" s="174"/>
      <c r="W232" s="174"/>
      <c r="X232" s="181" t="s">
        <v>1383</v>
      </c>
      <c r="Y232" s="213" t="s">
        <v>1038</v>
      </c>
      <c r="Z232" s="174" t="s">
        <v>1143</v>
      </c>
      <c r="AA232" s="205"/>
      <c r="AB232" s="205"/>
      <c r="AC232" s="174" t="s">
        <v>1420</v>
      </c>
      <c r="AD232" s="174" t="s">
        <v>1153</v>
      </c>
      <c r="AE232" s="174" t="s">
        <v>1538</v>
      </c>
      <c r="AF232" s="174" t="s">
        <v>1479</v>
      </c>
      <c r="AG232" s="183"/>
      <c r="AH232" s="174" t="s">
        <v>1621</v>
      </c>
      <c r="AI232" s="176" t="s">
        <v>1421</v>
      </c>
      <c r="AJ232" s="198"/>
      <c r="AK232" s="198"/>
      <c r="AL232" s="198"/>
      <c r="AM232" s="198"/>
      <c r="AN232" s="198"/>
      <c r="AO232" s="174"/>
      <c r="AP232" s="174"/>
      <c r="AQ232" s="174"/>
      <c r="AR232" s="174"/>
      <c r="AS232" s="174"/>
      <c r="AT232" s="174"/>
      <c r="AU232" s="174"/>
      <c r="AV232" s="174"/>
      <c r="AW232" s="176"/>
      <c r="AX232" s="130"/>
      <c r="AY232" s="130"/>
      <c r="AZ232" s="130"/>
      <c r="BA232" s="130"/>
      <c r="BB232" s="130"/>
      <c r="BC232" s="130"/>
      <c r="BD232" s="130"/>
      <c r="BE232" s="130"/>
      <c r="BF232" s="130"/>
    </row>
    <row r="233" spans="1:58" s="151" customFormat="1" x14ac:dyDescent="0.2">
      <c r="A233" s="174"/>
      <c r="B233" s="174"/>
      <c r="C233" s="174"/>
      <c r="D233" s="174"/>
      <c r="E233" s="174"/>
      <c r="F233" s="174"/>
      <c r="G233" s="174"/>
      <c r="H233" s="174"/>
      <c r="I233" s="174"/>
      <c r="J233" s="174"/>
      <c r="K233" s="174"/>
      <c r="L233" s="174"/>
      <c r="M233" s="174"/>
      <c r="N233" s="174"/>
      <c r="O233" s="174"/>
      <c r="P233" s="174"/>
      <c r="Q233" s="174"/>
      <c r="R233" s="174"/>
      <c r="S233" s="174"/>
      <c r="T233" s="174"/>
      <c r="U233" s="174"/>
      <c r="V233" s="174"/>
      <c r="W233" s="174"/>
      <c r="X233" s="174"/>
      <c r="Y233" s="174"/>
      <c r="Z233" s="174"/>
      <c r="AA233" s="205"/>
      <c r="AB233" s="205"/>
      <c r="AC233" s="174"/>
      <c r="AD233" s="174" t="s">
        <v>1412</v>
      </c>
      <c r="AE233" s="174" t="s">
        <v>1613</v>
      </c>
      <c r="AF233" s="174" t="s">
        <v>1479</v>
      </c>
      <c r="AG233" s="183"/>
      <c r="AH233" s="174" t="s">
        <v>1614</v>
      </c>
      <c r="AI233" s="176"/>
      <c r="AJ233" s="198"/>
      <c r="AK233" s="198"/>
      <c r="AL233" s="198"/>
      <c r="AM233" s="198"/>
      <c r="AN233" s="198"/>
      <c r="AO233" s="174"/>
      <c r="AP233" s="174"/>
      <c r="AQ233" s="174"/>
      <c r="AR233" s="174"/>
      <c r="AS233" s="174"/>
      <c r="AT233" s="174"/>
      <c r="AU233" s="174"/>
      <c r="AV233" s="174"/>
      <c r="AW233" s="176"/>
      <c r="AX233" s="130"/>
      <c r="AY233" s="130"/>
      <c r="AZ233" s="130"/>
      <c r="BA233" s="130"/>
      <c r="BB233" s="130"/>
      <c r="BC233" s="130"/>
      <c r="BD233" s="130"/>
      <c r="BE233" s="130"/>
      <c r="BF233" s="130"/>
    </row>
    <row r="234" spans="1:58" x14ac:dyDescent="0.2">
      <c r="A234" s="183"/>
      <c r="B234" s="183"/>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1" t="s">
        <v>1383</v>
      </c>
      <c r="Y234" s="213" t="s">
        <v>1038</v>
      </c>
      <c r="Z234" s="174" t="s">
        <v>1143</v>
      </c>
      <c r="AA234" s="205"/>
      <c r="AB234" s="205"/>
      <c r="AC234" s="183" t="s">
        <v>564</v>
      </c>
      <c r="AD234" s="183" t="s">
        <v>1153</v>
      </c>
      <c r="AE234" s="183" t="s">
        <v>565</v>
      </c>
      <c r="AF234" s="183" t="s">
        <v>1549</v>
      </c>
      <c r="AG234" s="183"/>
      <c r="AH234" s="183"/>
      <c r="AI234" s="185"/>
      <c r="AJ234" s="205"/>
      <c r="AK234" s="205"/>
      <c r="AL234" s="205"/>
      <c r="AM234" s="205"/>
      <c r="AN234" s="205"/>
      <c r="AO234" s="183"/>
      <c r="AP234" s="183"/>
      <c r="AQ234" s="183"/>
      <c r="AR234" s="183"/>
      <c r="AS234" s="183"/>
      <c r="AT234" s="183"/>
      <c r="AU234" s="183"/>
      <c r="AV234" s="183"/>
      <c r="AW234" s="185"/>
    </row>
    <row r="235" spans="1:58" x14ac:dyDescent="0.2">
      <c r="A235" s="183"/>
      <c r="B235" s="183"/>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205"/>
      <c r="AB235" s="205"/>
      <c r="AC235" s="183"/>
      <c r="AD235" s="183" t="s">
        <v>1153</v>
      </c>
      <c r="AE235" s="183" t="s">
        <v>1459</v>
      </c>
      <c r="AF235" s="183" t="s">
        <v>1549</v>
      </c>
      <c r="AG235" s="183"/>
      <c r="AH235" s="183"/>
      <c r="AI235" s="185"/>
      <c r="AJ235" s="205"/>
      <c r="AK235" s="205"/>
      <c r="AL235" s="205"/>
      <c r="AM235" s="205"/>
      <c r="AN235" s="205"/>
      <c r="AO235" s="183"/>
      <c r="AP235" s="183"/>
      <c r="AQ235" s="183"/>
      <c r="AR235" s="183"/>
      <c r="AS235" s="183"/>
      <c r="AT235" s="183"/>
      <c r="AU235" s="183"/>
      <c r="AV235" s="183"/>
      <c r="AW235" s="185"/>
    </row>
    <row r="236" spans="1:58" x14ac:dyDescent="0.2">
      <c r="A236" s="183"/>
      <c r="B236" s="183"/>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205"/>
      <c r="AB236" s="205"/>
      <c r="AC236" s="183"/>
      <c r="AD236" s="183" t="s">
        <v>1153</v>
      </c>
      <c r="AE236" s="183" t="s">
        <v>1240</v>
      </c>
      <c r="AF236" s="183" t="s">
        <v>1549</v>
      </c>
      <c r="AG236" s="183"/>
      <c r="AH236" s="183"/>
      <c r="AI236" s="185"/>
      <c r="AJ236" s="205"/>
      <c r="AK236" s="205"/>
      <c r="AL236" s="205"/>
      <c r="AM236" s="205"/>
      <c r="AN236" s="205"/>
      <c r="AO236" s="183"/>
      <c r="AP236" s="183"/>
      <c r="AQ236" s="183"/>
      <c r="AR236" s="183"/>
      <c r="AS236" s="183"/>
      <c r="AT236" s="183"/>
      <c r="AU236" s="183"/>
      <c r="AV236" s="183"/>
      <c r="AW236" s="185"/>
    </row>
    <row r="237" spans="1:58" x14ac:dyDescent="0.2">
      <c r="A237" s="183"/>
      <c r="B237" s="183"/>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205"/>
      <c r="AB237" s="205"/>
      <c r="AC237" s="183"/>
      <c r="AD237" s="183" t="s">
        <v>1153</v>
      </c>
      <c r="AE237" s="183" t="s">
        <v>1460</v>
      </c>
      <c r="AF237" s="183" t="s">
        <v>1549</v>
      </c>
      <c r="AG237" s="183"/>
      <c r="AH237" s="183"/>
      <c r="AI237" s="185"/>
      <c r="AJ237" s="205"/>
      <c r="AK237" s="205"/>
      <c r="AL237" s="205"/>
      <c r="AM237" s="205"/>
      <c r="AN237" s="205"/>
      <c r="AO237" s="183"/>
      <c r="AP237" s="183"/>
      <c r="AQ237" s="183"/>
      <c r="AR237" s="183"/>
      <c r="AS237" s="183"/>
      <c r="AT237" s="183"/>
      <c r="AU237" s="183"/>
      <c r="AV237" s="183"/>
      <c r="AW237" s="185"/>
    </row>
    <row r="238" spans="1:58" x14ac:dyDescent="0.2">
      <c r="A238" s="183"/>
      <c r="B238" s="183"/>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205"/>
      <c r="AB238" s="205"/>
      <c r="AC238" s="183"/>
      <c r="AD238" s="183" t="s">
        <v>1153</v>
      </c>
      <c r="AE238" s="190" t="s">
        <v>1461</v>
      </c>
      <c r="AF238" s="190" t="s">
        <v>1479</v>
      </c>
      <c r="AG238" s="183"/>
      <c r="AH238" s="183" t="s">
        <v>1592</v>
      </c>
      <c r="AI238" s="192"/>
      <c r="AJ238" s="205"/>
      <c r="AK238" s="205"/>
      <c r="AL238" s="205"/>
      <c r="AM238" s="205"/>
      <c r="AN238" s="205"/>
      <c r="AO238" s="183"/>
      <c r="AP238" s="183"/>
      <c r="AQ238" s="183"/>
      <c r="AR238" s="183"/>
      <c r="AS238" s="183"/>
      <c r="AT238" s="183"/>
      <c r="AU238" s="183"/>
      <c r="AV238" s="183"/>
      <c r="AW238" s="185"/>
    </row>
    <row r="239" spans="1:58" x14ac:dyDescent="0.2">
      <c r="A239" s="183"/>
      <c r="B239" s="183"/>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1" t="s">
        <v>1383</v>
      </c>
      <c r="Y239" s="213" t="s">
        <v>1038</v>
      </c>
      <c r="Z239" s="174" t="s">
        <v>1143</v>
      </c>
      <c r="AA239" s="205"/>
      <c r="AB239" s="205"/>
      <c r="AC239" s="183" t="s">
        <v>1593</v>
      </c>
      <c r="AD239" s="183" t="s">
        <v>1153</v>
      </c>
      <c r="AE239" s="183" t="s">
        <v>1510</v>
      </c>
      <c r="AF239" s="190" t="s">
        <v>1479</v>
      </c>
      <c r="AG239" s="183"/>
      <c r="AH239" s="185" t="s">
        <v>1565</v>
      </c>
      <c r="AI239" s="192"/>
      <c r="AJ239" s="205"/>
      <c r="AK239" s="205"/>
      <c r="AL239" s="205"/>
      <c r="AM239" s="205"/>
      <c r="AN239" s="205"/>
      <c r="AO239" s="183"/>
      <c r="AP239" s="183"/>
      <c r="AQ239" s="183"/>
      <c r="AR239" s="183"/>
      <c r="AS239" s="183"/>
      <c r="AT239" s="183"/>
      <c r="AU239" s="183"/>
      <c r="AV239" s="183"/>
      <c r="AW239" s="185"/>
    </row>
    <row r="240" spans="1:58" x14ac:dyDescent="0.2">
      <c r="A240" s="183"/>
      <c r="B240" s="183"/>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1" t="s">
        <v>1383</v>
      </c>
      <c r="Y240" s="213" t="s">
        <v>1038</v>
      </c>
      <c r="Z240" s="174" t="s">
        <v>1143</v>
      </c>
      <c r="AA240" s="205"/>
      <c r="AB240" s="205"/>
      <c r="AC240" s="183" t="s">
        <v>1595</v>
      </c>
      <c r="AD240" s="183" t="s">
        <v>1153</v>
      </c>
      <c r="AE240" s="183" t="s">
        <v>1594</v>
      </c>
      <c r="AF240" s="190" t="s">
        <v>1479</v>
      </c>
      <c r="AG240" s="183"/>
      <c r="AH240" s="185" t="s">
        <v>1565</v>
      </c>
      <c r="AI240" s="192"/>
      <c r="AJ240" s="205"/>
      <c r="AK240" s="205"/>
      <c r="AL240" s="205"/>
      <c r="AM240" s="205"/>
      <c r="AN240" s="205"/>
      <c r="AO240" s="183"/>
      <c r="AP240" s="183"/>
      <c r="AQ240" s="183"/>
      <c r="AR240" s="183"/>
      <c r="AS240" s="183"/>
      <c r="AT240" s="183"/>
      <c r="AU240" s="183"/>
      <c r="AV240" s="183"/>
      <c r="AW240" s="185"/>
    </row>
    <row r="241" spans="1:49" x14ac:dyDescent="0.2">
      <c r="A241" s="183"/>
      <c r="B241" s="183"/>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1" t="s">
        <v>1383</v>
      </c>
      <c r="Y241" s="213" t="s">
        <v>1038</v>
      </c>
      <c r="Z241" s="174" t="s">
        <v>1143</v>
      </c>
      <c r="AA241" s="205"/>
      <c r="AB241" s="205"/>
      <c r="AC241" s="183" t="s">
        <v>1597</v>
      </c>
      <c r="AD241" s="183" t="s">
        <v>1153</v>
      </c>
      <c r="AE241" s="183" t="s">
        <v>1596</v>
      </c>
      <c r="AF241" s="190" t="s">
        <v>1549</v>
      </c>
      <c r="AG241" s="183"/>
      <c r="AH241" s="185"/>
      <c r="AI241" s="192"/>
      <c r="AJ241" s="205"/>
      <c r="AK241" s="205"/>
      <c r="AL241" s="205"/>
      <c r="AM241" s="205"/>
      <c r="AN241" s="205"/>
      <c r="AO241" s="183"/>
      <c r="AP241" s="183"/>
      <c r="AQ241" s="183"/>
      <c r="AR241" s="183"/>
      <c r="AS241" s="183"/>
      <c r="AT241" s="183"/>
      <c r="AU241" s="183"/>
      <c r="AV241" s="183"/>
      <c r="AW241" s="185"/>
    </row>
    <row r="242" spans="1:49" x14ac:dyDescent="0.2">
      <c r="A242" s="183"/>
      <c r="B242" s="183"/>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1" t="s">
        <v>1383</v>
      </c>
      <c r="Y242" s="213" t="s">
        <v>1038</v>
      </c>
      <c r="Z242" s="174" t="s">
        <v>1143</v>
      </c>
      <c r="AA242" s="205"/>
      <c r="AB242" s="205"/>
      <c r="AC242" s="183" t="s">
        <v>1103</v>
      </c>
      <c r="AD242" s="183" t="s">
        <v>1153</v>
      </c>
      <c r="AE242" s="183" t="s">
        <v>1528</v>
      </c>
      <c r="AF242" s="190" t="s">
        <v>1549</v>
      </c>
      <c r="AG242" s="183"/>
      <c r="AH242" s="185"/>
      <c r="AI242" s="192"/>
      <c r="AJ242" s="205"/>
      <c r="AK242" s="205"/>
      <c r="AL242" s="205"/>
      <c r="AM242" s="205"/>
      <c r="AN242" s="205"/>
      <c r="AO242" s="183"/>
      <c r="AP242" s="183"/>
      <c r="AQ242" s="183"/>
      <c r="AR242" s="183"/>
      <c r="AS242" s="183"/>
      <c r="AT242" s="183"/>
      <c r="AU242" s="183"/>
      <c r="AV242" s="183"/>
      <c r="AW242" s="185"/>
    </row>
    <row r="243" spans="1:49" x14ac:dyDescent="0.2">
      <c r="A243" s="183"/>
      <c r="B243" s="183"/>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1" t="s">
        <v>1383</v>
      </c>
      <c r="Y243" s="213" t="s">
        <v>1038</v>
      </c>
      <c r="Z243" s="174" t="s">
        <v>1143</v>
      </c>
      <c r="AA243" s="205"/>
      <c r="AB243" s="205"/>
      <c r="AC243" s="183" t="s">
        <v>1131</v>
      </c>
      <c r="AD243" s="183" t="s">
        <v>1153</v>
      </c>
      <c r="AE243" s="183" t="s">
        <v>1598</v>
      </c>
      <c r="AF243" s="190" t="s">
        <v>1549</v>
      </c>
      <c r="AG243" s="183"/>
      <c r="AH243" s="185"/>
      <c r="AI243" s="192"/>
      <c r="AJ243" s="205"/>
      <c r="AK243" s="205"/>
      <c r="AL243" s="205"/>
      <c r="AM243" s="205"/>
      <c r="AN243" s="205"/>
      <c r="AO243" s="183"/>
      <c r="AP243" s="183"/>
      <c r="AQ243" s="183"/>
      <c r="AR243" s="183"/>
      <c r="AS243" s="183"/>
      <c r="AT243" s="183"/>
      <c r="AU243" s="183"/>
      <c r="AV243" s="183"/>
      <c r="AW243" s="185"/>
    </row>
    <row r="244" spans="1:49" x14ac:dyDescent="0.2">
      <c r="A244" s="183"/>
      <c r="B244" s="183"/>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1" t="s">
        <v>1383</v>
      </c>
      <c r="Y244" s="213" t="s">
        <v>1038</v>
      </c>
      <c r="Z244" s="174" t="s">
        <v>1143</v>
      </c>
      <c r="AA244" s="205"/>
      <c r="AB244" s="205"/>
      <c r="AC244" s="183" t="s">
        <v>1600</v>
      </c>
      <c r="AD244" s="183" t="s">
        <v>1153</v>
      </c>
      <c r="AE244" s="183" t="s">
        <v>1599</v>
      </c>
      <c r="AF244" s="190" t="s">
        <v>1549</v>
      </c>
      <c r="AG244" s="183"/>
      <c r="AH244" s="185"/>
      <c r="AI244" s="192"/>
      <c r="AJ244" s="205"/>
      <c r="AK244" s="205"/>
      <c r="AL244" s="205"/>
      <c r="AM244" s="205"/>
      <c r="AN244" s="205"/>
      <c r="AO244" s="183"/>
      <c r="AP244" s="183"/>
      <c r="AQ244" s="183"/>
      <c r="AR244" s="183"/>
      <c r="AS244" s="183"/>
      <c r="AT244" s="183"/>
      <c r="AU244" s="183"/>
      <c r="AV244" s="183"/>
      <c r="AW244" s="185"/>
    </row>
    <row r="245" spans="1:49" x14ac:dyDescent="0.2">
      <c r="A245" s="183"/>
      <c r="B245" s="183"/>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1" t="s">
        <v>1383</v>
      </c>
      <c r="Y245" s="213" t="s">
        <v>1038</v>
      </c>
      <c r="Z245" s="174" t="s">
        <v>1143</v>
      </c>
      <c r="AA245" s="205"/>
      <c r="AB245" s="205"/>
      <c r="AC245" s="183" t="s">
        <v>1105</v>
      </c>
      <c r="AD245" s="183" t="s">
        <v>1153</v>
      </c>
      <c r="AE245" s="183" t="s">
        <v>1601</v>
      </c>
      <c r="AF245" s="190" t="s">
        <v>1549</v>
      </c>
      <c r="AG245" s="183"/>
      <c r="AH245" s="185"/>
      <c r="AI245" s="192"/>
      <c r="AJ245" s="205"/>
      <c r="AK245" s="205"/>
      <c r="AL245" s="205"/>
      <c r="AM245" s="205"/>
      <c r="AN245" s="205"/>
      <c r="AO245" s="183"/>
      <c r="AP245" s="183"/>
      <c r="AQ245" s="183"/>
      <c r="AR245" s="183"/>
      <c r="AS245" s="183"/>
      <c r="AT245" s="183"/>
      <c r="AU245" s="183"/>
      <c r="AV245" s="183"/>
      <c r="AW245" s="185"/>
    </row>
    <row r="246" spans="1:49" x14ac:dyDescent="0.2">
      <c r="A246" s="183"/>
      <c r="B246" s="183"/>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1" t="s">
        <v>1383</v>
      </c>
      <c r="Y246" s="213" t="s">
        <v>1038</v>
      </c>
      <c r="Z246" s="174" t="s">
        <v>1143</v>
      </c>
      <c r="AA246" s="205"/>
      <c r="AB246" s="205"/>
      <c r="AC246" s="183" t="s">
        <v>1604</v>
      </c>
      <c r="AD246" s="183" t="s">
        <v>1153</v>
      </c>
      <c r="AE246" s="183" t="s">
        <v>1602</v>
      </c>
      <c r="AF246" s="190" t="s">
        <v>1549</v>
      </c>
      <c r="AG246" s="183"/>
      <c r="AH246" s="185"/>
      <c r="AI246" s="192"/>
      <c r="AJ246" s="205"/>
      <c r="AK246" s="205"/>
      <c r="AL246" s="205"/>
      <c r="AM246" s="205"/>
      <c r="AN246" s="205"/>
      <c r="AO246" s="183"/>
      <c r="AP246" s="183"/>
      <c r="AQ246" s="183"/>
      <c r="AR246" s="183"/>
      <c r="AS246" s="183"/>
      <c r="AT246" s="183"/>
      <c r="AU246" s="183"/>
      <c r="AV246" s="183"/>
      <c r="AW246" s="185"/>
    </row>
    <row r="247" spans="1:49" x14ac:dyDescent="0.2">
      <c r="A247" s="183"/>
      <c r="B247" s="183"/>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1" t="s">
        <v>1383</v>
      </c>
      <c r="Y247" s="213" t="s">
        <v>1038</v>
      </c>
      <c r="Z247" s="174" t="s">
        <v>1143</v>
      </c>
      <c r="AA247" s="205"/>
      <c r="AB247" s="205"/>
      <c r="AC247" s="183" t="s">
        <v>1605</v>
      </c>
      <c r="AD247" s="183" t="s">
        <v>1153</v>
      </c>
      <c r="AE247" s="183" t="s">
        <v>1603</v>
      </c>
      <c r="AF247" s="190" t="s">
        <v>1549</v>
      </c>
      <c r="AG247" s="183"/>
      <c r="AH247" s="185"/>
      <c r="AI247" s="192"/>
      <c r="AJ247" s="205"/>
      <c r="AK247" s="205"/>
      <c r="AL247" s="205"/>
      <c r="AM247" s="205"/>
      <c r="AN247" s="205"/>
      <c r="AO247" s="183"/>
      <c r="AP247" s="183"/>
      <c r="AQ247" s="183"/>
      <c r="AR247" s="183"/>
      <c r="AS247" s="183"/>
      <c r="AT247" s="183"/>
      <c r="AU247" s="183"/>
      <c r="AV247" s="183"/>
      <c r="AW247" s="185"/>
    </row>
    <row r="248" spans="1:49" x14ac:dyDescent="0.2">
      <c r="A248" s="183"/>
      <c r="B248" s="183"/>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205"/>
      <c r="AB248" s="205"/>
      <c r="AC248" s="183"/>
      <c r="AD248" s="183" t="s">
        <v>1153</v>
      </c>
      <c r="AE248" s="190" t="s">
        <v>1099</v>
      </c>
      <c r="AF248" s="190" t="s">
        <v>1479</v>
      </c>
      <c r="AG248" s="183"/>
      <c r="AH248" s="183" t="s">
        <v>1620</v>
      </c>
      <c r="AI248" s="192"/>
      <c r="AJ248" s="205"/>
      <c r="AK248" s="205"/>
      <c r="AL248" s="205"/>
      <c r="AM248" s="205"/>
      <c r="AN248" s="205"/>
      <c r="AO248" s="183"/>
      <c r="AP248" s="183"/>
      <c r="AQ248" s="183"/>
      <c r="AR248" s="183"/>
      <c r="AS248" s="183"/>
      <c r="AT248" s="183"/>
      <c r="AU248" s="183"/>
      <c r="AV248" s="183"/>
      <c r="AW248" s="185"/>
    </row>
    <row r="249" spans="1:49" x14ac:dyDescent="0.2">
      <c r="A249" s="183"/>
      <c r="B249" s="183"/>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205"/>
      <c r="AB249" s="205"/>
      <c r="AC249" s="183"/>
      <c r="AD249" s="183" t="s">
        <v>1153</v>
      </c>
      <c r="AE249" s="190" t="s">
        <v>1462</v>
      </c>
      <c r="AF249" s="190" t="s">
        <v>1479</v>
      </c>
      <c r="AG249" s="183"/>
      <c r="AH249" s="183" t="s">
        <v>1619</v>
      </c>
      <c r="AI249" s="192"/>
      <c r="AJ249" s="205"/>
      <c r="AK249" s="205"/>
      <c r="AL249" s="205"/>
      <c r="AM249" s="205"/>
      <c r="AN249" s="205"/>
      <c r="AO249" s="183"/>
      <c r="AP249" s="183"/>
      <c r="AQ249" s="183"/>
      <c r="AR249" s="183"/>
      <c r="AS249" s="183"/>
      <c r="AT249" s="183"/>
      <c r="AU249" s="183"/>
      <c r="AV249" s="183"/>
      <c r="AW249" s="185"/>
    </row>
    <row r="250" spans="1:49" x14ac:dyDescent="0.2">
      <c r="A250" s="183"/>
      <c r="B250" s="183"/>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205"/>
      <c r="AB250" s="205"/>
      <c r="AC250" s="183"/>
      <c r="AD250" s="183" t="s">
        <v>1153</v>
      </c>
      <c r="AE250" s="190" t="s">
        <v>1084</v>
      </c>
      <c r="AF250" s="190" t="s">
        <v>1479</v>
      </c>
      <c r="AG250" s="183"/>
      <c r="AH250" s="183" t="s">
        <v>1618</v>
      </c>
      <c r="AI250" s="192"/>
      <c r="AJ250" s="205"/>
      <c r="AK250" s="205"/>
      <c r="AL250" s="205"/>
      <c r="AM250" s="205"/>
      <c r="AN250" s="205"/>
      <c r="AO250" s="183"/>
      <c r="AP250" s="183"/>
      <c r="AQ250" s="183"/>
      <c r="AR250" s="183"/>
      <c r="AS250" s="183"/>
      <c r="AT250" s="183"/>
      <c r="AU250" s="183"/>
      <c r="AV250" s="183"/>
      <c r="AW250" s="185"/>
    </row>
    <row r="251" spans="1:49" x14ac:dyDescent="0.2">
      <c r="A251" s="183"/>
      <c r="B251" s="183"/>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1" t="s">
        <v>1383</v>
      </c>
      <c r="Y251" s="213" t="s">
        <v>1038</v>
      </c>
      <c r="Z251" s="174" t="s">
        <v>1143</v>
      </c>
      <c r="AA251" s="205"/>
      <c r="AB251" s="205"/>
      <c r="AC251" s="183" t="s">
        <v>1330</v>
      </c>
      <c r="AD251" s="183" t="s">
        <v>1153</v>
      </c>
      <c r="AE251" s="190" t="s">
        <v>1080</v>
      </c>
      <c r="AF251" s="190" t="s">
        <v>1479</v>
      </c>
      <c r="AG251" s="183"/>
      <c r="AH251" s="183"/>
      <c r="AI251" s="183" t="s">
        <v>1547</v>
      </c>
      <c r="AJ251" s="205"/>
      <c r="AK251" s="205"/>
      <c r="AL251" s="205"/>
      <c r="AM251" s="205"/>
      <c r="AN251" s="205"/>
      <c r="AO251" s="183"/>
      <c r="AP251" s="183"/>
      <c r="AQ251" s="183"/>
      <c r="AR251" s="183"/>
      <c r="AS251" s="183"/>
      <c r="AT251" s="183"/>
      <c r="AU251" s="183"/>
      <c r="AV251" s="183"/>
      <c r="AW251" s="185"/>
    </row>
    <row r="252" spans="1:49" x14ac:dyDescent="0.2">
      <c r="A252" s="183"/>
      <c r="B252" s="183"/>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1" t="s">
        <v>1383</v>
      </c>
      <c r="Y252" s="213" t="s">
        <v>1038</v>
      </c>
      <c r="Z252" s="174" t="s">
        <v>1143</v>
      </c>
      <c r="AA252" s="205"/>
      <c r="AB252" s="205"/>
      <c r="AC252" s="183" t="s">
        <v>1590</v>
      </c>
      <c r="AD252" s="183" t="s">
        <v>1153</v>
      </c>
      <c r="AE252" s="190" t="s">
        <v>1511</v>
      </c>
      <c r="AF252" s="183" t="s">
        <v>1479</v>
      </c>
      <c r="AG252" s="183"/>
      <c r="AH252" s="183"/>
      <c r="AI252" s="185"/>
      <c r="AJ252" s="205"/>
      <c r="AK252" s="205"/>
      <c r="AL252" s="205"/>
      <c r="AM252" s="205"/>
      <c r="AN252" s="205"/>
      <c r="AO252" s="183"/>
      <c r="AP252" s="183"/>
      <c r="AQ252" s="183"/>
      <c r="AR252" s="183"/>
      <c r="AS252" s="183"/>
      <c r="AT252" s="183"/>
      <c r="AU252" s="183"/>
      <c r="AV252" s="183"/>
      <c r="AW252" s="185"/>
    </row>
    <row r="253" spans="1:49" x14ac:dyDescent="0.2">
      <c r="A253" s="183"/>
      <c r="B253" s="183"/>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205"/>
      <c r="AB253" s="205"/>
      <c r="AC253" s="183"/>
      <c r="AD253" s="183" t="s">
        <v>1153</v>
      </c>
      <c r="AE253" s="183" t="s">
        <v>568</v>
      </c>
      <c r="AF253" s="183" t="s">
        <v>1549</v>
      </c>
      <c r="AG253" s="183"/>
      <c r="AH253" s="183"/>
      <c r="AI253" s="185"/>
      <c r="AJ253" s="205"/>
      <c r="AK253" s="205"/>
      <c r="AL253" s="205"/>
      <c r="AM253" s="205"/>
      <c r="AN253" s="205"/>
      <c r="AO253" s="183"/>
      <c r="AP253" s="183"/>
      <c r="AQ253" s="183"/>
      <c r="AR253" s="183"/>
      <c r="AS253" s="183"/>
      <c r="AT253" s="183"/>
      <c r="AU253" s="183"/>
      <c r="AV253" s="183"/>
      <c r="AW253" s="185"/>
    </row>
    <row r="254" spans="1:49" x14ac:dyDescent="0.2">
      <c r="A254" s="183"/>
      <c r="B254" s="183"/>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1" t="s">
        <v>1383</v>
      </c>
      <c r="Y254" s="213" t="s">
        <v>1038</v>
      </c>
      <c r="Z254" s="174" t="s">
        <v>1143</v>
      </c>
      <c r="AA254" s="205"/>
      <c r="AB254" s="205"/>
      <c r="AC254" s="183" t="s">
        <v>1463</v>
      </c>
      <c r="AD254" s="183" t="s">
        <v>1153</v>
      </c>
      <c r="AE254" s="183" t="s">
        <v>1512</v>
      </c>
      <c r="AF254" s="183" t="s">
        <v>1479</v>
      </c>
      <c r="AG254" s="183"/>
      <c r="AH254" s="183" t="s">
        <v>1617</v>
      </c>
      <c r="AI254" s="185" t="s">
        <v>1558</v>
      </c>
      <c r="AJ254" s="205"/>
      <c r="AK254" s="205"/>
      <c r="AL254" s="205"/>
      <c r="AM254" s="205"/>
      <c r="AN254" s="205"/>
      <c r="AO254" s="183"/>
      <c r="AP254" s="183"/>
      <c r="AQ254" s="183"/>
      <c r="AR254" s="183"/>
      <c r="AS254" s="183"/>
      <c r="AT254" s="183"/>
      <c r="AU254" s="183"/>
      <c r="AV254" s="183"/>
      <c r="AW254" s="185"/>
    </row>
    <row r="255" spans="1:49" x14ac:dyDescent="0.2">
      <c r="A255" s="183"/>
      <c r="B255" s="183"/>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1" t="s">
        <v>1383</v>
      </c>
      <c r="Y255" s="213" t="s">
        <v>1038</v>
      </c>
      <c r="Z255" s="174" t="s">
        <v>1143</v>
      </c>
      <c r="AA255" s="205"/>
      <c r="AB255" s="205"/>
      <c r="AC255" s="183" t="s">
        <v>1464</v>
      </c>
      <c r="AD255" s="183" t="s">
        <v>1153</v>
      </c>
      <c r="AE255" s="183" t="s">
        <v>730</v>
      </c>
      <c r="AF255" s="190" t="s">
        <v>1479</v>
      </c>
      <c r="AG255" s="183"/>
      <c r="AH255" s="183"/>
      <c r="AI255" s="185"/>
      <c r="AJ255" s="205"/>
      <c r="AK255" s="205"/>
      <c r="AL255" s="205"/>
      <c r="AM255" s="205"/>
      <c r="AN255" s="205"/>
      <c r="AO255" s="183"/>
      <c r="AP255" s="183"/>
      <c r="AQ255" s="183"/>
      <c r="AR255" s="183"/>
      <c r="AS255" s="183"/>
      <c r="AT255" s="183"/>
      <c r="AU255" s="183"/>
      <c r="AV255" s="183"/>
      <c r="AW255" s="185"/>
    </row>
    <row r="256" spans="1:49" x14ac:dyDescent="0.2">
      <c r="A256" s="183"/>
      <c r="B256" s="183"/>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1" t="s">
        <v>1383</v>
      </c>
      <c r="Y256" s="213" t="s">
        <v>1038</v>
      </c>
      <c r="Z256" s="174" t="s">
        <v>1143</v>
      </c>
      <c r="AA256" s="205"/>
      <c r="AB256" s="205"/>
      <c r="AC256" s="183" t="s">
        <v>1465</v>
      </c>
      <c r="AD256" s="183" t="s">
        <v>1153</v>
      </c>
      <c r="AE256" s="183" t="s">
        <v>729</v>
      </c>
      <c r="AF256" s="190" t="s">
        <v>1479</v>
      </c>
      <c r="AG256" s="183"/>
      <c r="AH256" s="183"/>
      <c r="AI256" s="185"/>
      <c r="AJ256" s="205"/>
      <c r="AK256" s="205"/>
      <c r="AL256" s="205"/>
      <c r="AM256" s="205"/>
      <c r="AN256" s="205"/>
      <c r="AO256" s="183"/>
      <c r="AP256" s="183"/>
      <c r="AQ256" s="183"/>
      <c r="AR256" s="183"/>
      <c r="AS256" s="183"/>
      <c r="AT256" s="183"/>
      <c r="AU256" s="183"/>
      <c r="AV256" s="183"/>
      <c r="AW256" s="185"/>
    </row>
    <row r="257" spans="1:58" x14ac:dyDescent="0.2">
      <c r="A257" s="183"/>
      <c r="B257" s="183"/>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205"/>
      <c r="AB257" s="205"/>
      <c r="AC257" s="183"/>
      <c r="AD257" s="183" t="s">
        <v>1153</v>
      </c>
      <c r="AE257" s="183" t="s">
        <v>1466</v>
      </c>
      <c r="AF257" s="183" t="s">
        <v>1549</v>
      </c>
      <c r="AG257" s="183"/>
      <c r="AH257" s="183"/>
      <c r="AI257" s="185"/>
      <c r="AJ257" s="205"/>
      <c r="AK257" s="205"/>
      <c r="AL257" s="205"/>
      <c r="AM257" s="205"/>
      <c r="AN257" s="205"/>
      <c r="AO257" s="183"/>
      <c r="AP257" s="183"/>
      <c r="AQ257" s="183"/>
      <c r="AR257" s="183"/>
      <c r="AS257" s="183"/>
      <c r="AT257" s="183"/>
      <c r="AU257" s="183"/>
      <c r="AV257" s="183"/>
      <c r="AW257" s="185"/>
    </row>
    <row r="258" spans="1:58" x14ac:dyDescent="0.2">
      <c r="A258" s="183"/>
      <c r="B258" s="183"/>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205"/>
      <c r="AB258" s="205"/>
      <c r="AC258" s="183"/>
      <c r="AD258" s="183" t="s">
        <v>1153</v>
      </c>
      <c r="AE258" s="190" t="s">
        <v>1085</v>
      </c>
      <c r="AF258" s="190" t="s">
        <v>1479</v>
      </c>
      <c r="AG258" s="183"/>
      <c r="AH258" s="183" t="s">
        <v>1616</v>
      </c>
      <c r="AI258" s="192" t="s">
        <v>1557</v>
      </c>
      <c r="AJ258" s="205"/>
      <c r="AK258" s="205"/>
      <c r="AL258" s="205"/>
      <c r="AM258" s="205"/>
      <c r="AN258" s="205"/>
      <c r="AO258" s="183"/>
      <c r="AP258" s="183"/>
      <c r="AQ258" s="183"/>
      <c r="AR258" s="183"/>
      <c r="AS258" s="183"/>
      <c r="AT258" s="183"/>
      <c r="AU258" s="183"/>
      <c r="AV258" s="183"/>
      <c r="AW258" s="185"/>
    </row>
    <row r="259" spans="1:58" x14ac:dyDescent="0.2">
      <c r="A259" s="183"/>
      <c r="B259" s="183"/>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205"/>
      <c r="AB259" s="205"/>
      <c r="AC259" s="183"/>
      <c r="AD259" s="183" t="s">
        <v>1153</v>
      </c>
      <c r="AE259" s="183" t="s">
        <v>1458</v>
      </c>
      <c r="AF259" s="183" t="s">
        <v>1549</v>
      </c>
      <c r="AG259" s="183"/>
      <c r="AH259" s="183"/>
      <c r="AI259" s="185"/>
      <c r="AJ259" s="205"/>
      <c r="AK259" s="205"/>
      <c r="AL259" s="205"/>
      <c r="AM259" s="205"/>
      <c r="AN259" s="205"/>
      <c r="AO259" s="183"/>
      <c r="AP259" s="183"/>
      <c r="AQ259" s="183"/>
      <c r="AR259" s="183"/>
      <c r="AS259" s="183"/>
      <c r="AT259" s="183"/>
      <c r="AU259" s="183"/>
      <c r="AV259" s="183"/>
      <c r="AW259" s="185"/>
    </row>
    <row r="260" spans="1:58" x14ac:dyDescent="0.2">
      <c r="A260" s="183"/>
      <c r="B260" s="183"/>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1" t="s">
        <v>1383</v>
      </c>
      <c r="Y260" s="213" t="s">
        <v>1038</v>
      </c>
      <c r="Z260" s="174" t="s">
        <v>1143</v>
      </c>
      <c r="AA260" s="205"/>
      <c r="AB260" s="205"/>
      <c r="AC260" s="183" t="s">
        <v>567</v>
      </c>
      <c r="AD260" s="183" t="s">
        <v>1153</v>
      </c>
      <c r="AE260" s="190" t="s">
        <v>728</v>
      </c>
      <c r="AF260" s="190" t="s">
        <v>1549</v>
      </c>
      <c r="AG260" s="183"/>
      <c r="AH260" s="183"/>
      <c r="AI260" s="183" t="s">
        <v>1513</v>
      </c>
      <c r="AJ260" s="184"/>
      <c r="AK260" s="184"/>
      <c r="AL260" s="184"/>
      <c r="AM260" s="184"/>
      <c r="AN260" s="184"/>
      <c r="AO260" s="183"/>
      <c r="AP260" s="183"/>
      <c r="AQ260" s="183"/>
      <c r="AR260" s="183"/>
      <c r="AS260" s="183"/>
      <c r="AT260" s="183"/>
      <c r="AU260" s="183"/>
      <c r="AV260" s="183"/>
      <c r="AW260" s="185"/>
    </row>
    <row r="261" spans="1:58" ht="76.5" x14ac:dyDescent="0.2">
      <c r="A261" s="180" t="s">
        <v>1416</v>
      </c>
      <c r="B261" s="180" t="s">
        <v>601</v>
      </c>
      <c r="C261" s="180" t="s">
        <v>507</v>
      </c>
      <c r="D261" s="180" t="s">
        <v>37</v>
      </c>
      <c r="E261" s="180" t="s">
        <v>31</v>
      </c>
      <c r="F261" s="202"/>
      <c r="G261" s="180" t="s">
        <v>45</v>
      </c>
      <c r="H261" s="180"/>
      <c r="I261" s="180" t="s">
        <v>594</v>
      </c>
      <c r="J261" s="180" t="s">
        <v>37</v>
      </c>
      <c r="K261" s="180" t="s">
        <v>568</v>
      </c>
      <c r="L261" s="180" t="s">
        <v>332</v>
      </c>
      <c r="M261" s="180" t="s">
        <v>45</v>
      </c>
      <c r="N261" s="181" t="s">
        <v>595</v>
      </c>
      <c r="O261" s="181" t="s">
        <v>555</v>
      </c>
      <c r="P261" s="182">
        <v>44273</v>
      </c>
      <c r="Q261" s="180" t="s">
        <v>568</v>
      </c>
      <c r="R261" s="180" t="s">
        <v>568</v>
      </c>
      <c r="S261" s="181" t="s">
        <v>36</v>
      </c>
      <c r="T261" s="180" t="s">
        <v>1206</v>
      </c>
      <c r="U261" s="180" t="s">
        <v>1387</v>
      </c>
      <c r="V261" s="180" t="s">
        <v>568</v>
      </c>
      <c r="W261" s="180"/>
      <c r="X261" s="180" t="s">
        <v>1383</v>
      </c>
      <c r="Y261" s="180" t="s">
        <v>1038</v>
      </c>
      <c r="Z261" s="183" t="s">
        <v>1384</v>
      </c>
      <c r="AA261" s="200" t="s">
        <v>568</v>
      </c>
      <c r="AB261" s="200" t="s">
        <v>1313</v>
      </c>
      <c r="AC261" s="183" t="str">
        <f>V261</f>
        <v>serviceDeliveryKey</v>
      </c>
      <c r="AD261" s="180" t="s">
        <v>1313</v>
      </c>
      <c r="AE261" s="183" t="s">
        <v>568</v>
      </c>
      <c r="AF261" s="183" t="s">
        <v>1549</v>
      </c>
      <c r="AG261" s="183"/>
      <c r="AH261" s="183"/>
      <c r="AI261" s="185" t="s">
        <v>963</v>
      </c>
      <c r="AJ261" s="201" t="s">
        <v>1313</v>
      </c>
      <c r="AK261" s="201" t="s">
        <v>332</v>
      </c>
      <c r="AL261" s="177"/>
      <c r="AM261" s="177"/>
      <c r="AN261" s="177" t="s">
        <v>963</v>
      </c>
      <c r="AO261" s="183"/>
      <c r="AP261" s="183"/>
      <c r="AQ261" s="183"/>
      <c r="AR261" s="183"/>
      <c r="AS261" s="183"/>
      <c r="AT261" s="183"/>
      <c r="AU261" s="183"/>
      <c r="AV261" s="183"/>
      <c r="AW261" s="185"/>
    </row>
    <row r="262" spans="1:58" ht="25.5" x14ac:dyDescent="0.2">
      <c r="A262" s="180" t="s">
        <v>1416</v>
      </c>
      <c r="B262" s="180" t="s">
        <v>601</v>
      </c>
      <c r="C262" s="180" t="s">
        <v>507</v>
      </c>
      <c r="D262" s="180" t="s">
        <v>37</v>
      </c>
      <c r="E262" s="180" t="s">
        <v>10</v>
      </c>
      <c r="F262" s="180"/>
      <c r="G262" s="180" t="s">
        <v>128</v>
      </c>
      <c r="H262" s="180"/>
      <c r="I262" s="180" t="s">
        <v>594</v>
      </c>
      <c r="J262" s="180" t="s">
        <v>37</v>
      </c>
      <c r="K262" s="180" t="s">
        <v>379</v>
      </c>
      <c r="L262" s="180" t="s">
        <v>381</v>
      </c>
      <c r="M262" s="180" t="s">
        <v>128</v>
      </c>
      <c r="N262" s="181" t="s">
        <v>129</v>
      </c>
      <c r="O262" s="181" t="s">
        <v>554</v>
      </c>
      <c r="P262" s="182">
        <v>44273</v>
      </c>
      <c r="Q262" s="180" t="s">
        <v>379</v>
      </c>
      <c r="R262" s="180" t="s">
        <v>379</v>
      </c>
      <c r="S262" s="181"/>
      <c r="T262" s="180" t="s">
        <v>1206</v>
      </c>
      <c r="U262" s="180" t="s">
        <v>1387</v>
      </c>
      <c r="V262" s="180" t="s">
        <v>379</v>
      </c>
      <c r="W262" s="180"/>
      <c r="X262" s="180" t="s">
        <v>1383</v>
      </c>
      <c r="Y262" s="180" t="s">
        <v>1038</v>
      </c>
      <c r="Z262" s="183" t="s">
        <v>1384</v>
      </c>
      <c r="AA262" s="200" t="s">
        <v>1044</v>
      </c>
      <c r="AB262" s="200" t="s">
        <v>1313</v>
      </c>
      <c r="AC262" s="183" t="str">
        <f>V262</f>
        <v>reportedHours</v>
      </c>
      <c r="AD262" s="180" t="s">
        <v>1313</v>
      </c>
      <c r="AE262" s="191" t="s">
        <v>1476</v>
      </c>
      <c r="AF262" s="183" t="s">
        <v>1549</v>
      </c>
      <c r="AG262" s="183"/>
      <c r="AH262" s="183"/>
      <c r="AI262" s="185" t="s">
        <v>963</v>
      </c>
      <c r="AJ262" s="201" t="s">
        <v>1313</v>
      </c>
      <c r="AK262" s="177" t="s">
        <v>1305</v>
      </c>
      <c r="AL262" s="177"/>
      <c r="AM262" s="177"/>
      <c r="AN262" s="177" t="s">
        <v>963</v>
      </c>
      <c r="AO262" s="183"/>
      <c r="AP262" s="183"/>
      <c r="AQ262" s="183"/>
      <c r="AR262" s="183"/>
      <c r="AS262" s="183"/>
      <c r="AT262" s="183"/>
      <c r="AU262" s="183"/>
      <c r="AV262" s="183"/>
      <c r="AW262" s="185"/>
      <c r="AX262" s="140"/>
      <c r="AY262" s="140"/>
      <c r="AZ262" s="140"/>
      <c r="BA262" s="140"/>
      <c r="BB262" s="140"/>
      <c r="BC262" s="140"/>
      <c r="BD262" s="140"/>
      <c r="BE262" s="140"/>
      <c r="BF262" s="140"/>
    </row>
    <row r="263" spans="1:58" ht="25.5" x14ac:dyDescent="0.2">
      <c r="A263" s="171" t="s">
        <v>1416</v>
      </c>
      <c r="B263" s="171" t="s">
        <v>601</v>
      </c>
      <c r="C263" s="171" t="s">
        <v>507</v>
      </c>
      <c r="D263" s="171" t="s">
        <v>37</v>
      </c>
      <c r="E263" s="171" t="s">
        <v>26</v>
      </c>
      <c r="F263" s="171"/>
      <c r="G263" s="171" t="s">
        <v>130</v>
      </c>
      <c r="H263" s="171" t="s">
        <v>131</v>
      </c>
      <c r="I263" s="171" t="s">
        <v>594</v>
      </c>
      <c r="J263" s="171" t="s">
        <v>37</v>
      </c>
      <c r="K263" s="171" t="s">
        <v>26</v>
      </c>
      <c r="L263" s="171" t="s">
        <v>382</v>
      </c>
      <c r="M263" s="171" t="s">
        <v>130</v>
      </c>
      <c r="N263" s="172" t="s">
        <v>581</v>
      </c>
      <c r="O263" s="172" t="s">
        <v>554</v>
      </c>
      <c r="P263" s="173">
        <v>44273</v>
      </c>
      <c r="Q263" s="171" t="s">
        <v>26</v>
      </c>
      <c r="R263" s="171" t="s">
        <v>26</v>
      </c>
      <c r="S263" s="172"/>
      <c r="T263" s="171" t="s">
        <v>1206</v>
      </c>
      <c r="U263" s="171" t="s">
        <v>1387</v>
      </c>
      <c r="V263" s="171" t="s">
        <v>26</v>
      </c>
      <c r="W263" s="171"/>
      <c r="X263" s="171" t="s">
        <v>1383</v>
      </c>
      <c r="Y263" s="171" t="s">
        <v>1038</v>
      </c>
      <c r="Z263" s="174" t="s">
        <v>1384</v>
      </c>
      <c r="AA263" s="200" t="s">
        <v>26</v>
      </c>
      <c r="AB263" s="200" t="s">
        <v>1313</v>
      </c>
      <c r="AC263" s="171" t="s">
        <v>26</v>
      </c>
      <c r="AD263" s="174" t="s">
        <v>1313</v>
      </c>
      <c r="AE263" s="174" t="s">
        <v>382</v>
      </c>
      <c r="AF263" s="174" t="s">
        <v>1479</v>
      </c>
      <c r="AG263" s="174"/>
      <c r="AH263" s="174"/>
      <c r="AI263" s="176" t="s">
        <v>1542</v>
      </c>
      <c r="AJ263" s="201" t="s">
        <v>1313</v>
      </c>
      <c r="AK263" s="201" t="s">
        <v>382</v>
      </c>
      <c r="AL263" s="177"/>
      <c r="AM263" s="177"/>
      <c r="AN263" s="177" t="s">
        <v>963</v>
      </c>
      <c r="AO263" s="174"/>
      <c r="AP263" s="174"/>
      <c r="AQ263" s="174"/>
      <c r="AR263" s="174"/>
      <c r="AS263" s="174"/>
      <c r="AT263" s="174"/>
      <c r="AU263" s="174"/>
      <c r="AV263" s="174"/>
      <c r="AW263" s="176"/>
      <c r="AX263" s="140"/>
      <c r="AY263" s="140"/>
      <c r="AZ263" s="140"/>
      <c r="BA263" s="140"/>
      <c r="BB263" s="140"/>
      <c r="BC263" s="140"/>
      <c r="BD263" s="140"/>
      <c r="BE263" s="140"/>
      <c r="BF263" s="140"/>
    </row>
    <row r="264" spans="1:58" ht="25.5" x14ac:dyDescent="0.2">
      <c r="A264" s="171" t="s">
        <v>1416</v>
      </c>
      <c r="B264" s="171" t="s">
        <v>601</v>
      </c>
      <c r="C264" s="171" t="s">
        <v>507</v>
      </c>
      <c r="D264" s="171" t="s">
        <v>37</v>
      </c>
      <c r="E264" s="171" t="s">
        <v>8</v>
      </c>
      <c r="F264" s="171"/>
      <c r="G264" s="171" t="s">
        <v>661</v>
      </c>
      <c r="H264" s="171" t="s">
        <v>126</v>
      </c>
      <c r="I264" s="171" t="s">
        <v>594</v>
      </c>
      <c r="J264" s="171" t="s">
        <v>37</v>
      </c>
      <c r="K264" s="171" t="s">
        <v>390</v>
      </c>
      <c r="L264" s="171" t="s">
        <v>383</v>
      </c>
      <c r="M264" s="171" t="s">
        <v>125</v>
      </c>
      <c r="N264" s="172" t="s">
        <v>155</v>
      </c>
      <c r="O264" s="172" t="s">
        <v>554</v>
      </c>
      <c r="P264" s="173">
        <v>44273</v>
      </c>
      <c r="Q264" s="171" t="s">
        <v>390</v>
      </c>
      <c r="R264" s="171" t="s">
        <v>390</v>
      </c>
      <c r="S264" s="172"/>
      <c r="T264" s="171" t="s">
        <v>1206</v>
      </c>
      <c r="U264" s="171" t="s">
        <v>1387</v>
      </c>
      <c r="V264" s="171" t="s">
        <v>1379</v>
      </c>
      <c r="W264" s="171"/>
      <c r="X264" s="171" t="s">
        <v>1383</v>
      </c>
      <c r="Y264" s="174" t="s">
        <v>1038</v>
      </c>
      <c r="Z264" s="174" t="s">
        <v>1384</v>
      </c>
      <c r="AA264" s="200" t="s">
        <v>1046</v>
      </c>
      <c r="AB264" s="200" t="s">
        <v>1313</v>
      </c>
      <c r="AC264" s="174" t="str">
        <f>V264</f>
        <v>originalPunchInDateTime</v>
      </c>
      <c r="AD264" s="174" t="s">
        <v>1313</v>
      </c>
      <c r="AE264" s="174" t="s">
        <v>1306</v>
      </c>
      <c r="AF264" s="174" t="s">
        <v>1479</v>
      </c>
      <c r="AG264" s="174"/>
      <c r="AH264" s="174"/>
      <c r="AI264" s="176" t="s">
        <v>963</v>
      </c>
      <c r="AJ264" s="201" t="s">
        <v>1313</v>
      </c>
      <c r="AK264" s="201" t="s">
        <v>1306</v>
      </c>
      <c r="AL264" s="177"/>
      <c r="AM264" s="177"/>
      <c r="AN264" s="177" t="s">
        <v>963</v>
      </c>
      <c r="AO264" s="174"/>
      <c r="AP264" s="174"/>
      <c r="AQ264" s="174"/>
      <c r="AR264" s="174"/>
      <c r="AS264" s="174"/>
      <c r="AT264" s="174"/>
      <c r="AU264" s="174"/>
      <c r="AV264" s="174"/>
      <c r="AW264" s="176"/>
      <c r="AX264" s="140"/>
      <c r="AY264" s="140"/>
      <c r="AZ264" s="140"/>
      <c r="BA264" s="140"/>
      <c r="BB264" s="140"/>
      <c r="BC264" s="140"/>
      <c r="BD264" s="140"/>
      <c r="BE264" s="140"/>
      <c r="BF264" s="140"/>
    </row>
    <row r="265" spans="1:58" ht="25.5" x14ac:dyDescent="0.2">
      <c r="A265" s="171" t="s">
        <v>1416</v>
      </c>
      <c r="B265" s="171" t="s">
        <v>601</v>
      </c>
      <c r="C265" s="171" t="s">
        <v>507</v>
      </c>
      <c r="D265" s="171" t="s">
        <v>37</v>
      </c>
      <c r="E265" s="171" t="s">
        <v>9</v>
      </c>
      <c r="F265" s="171"/>
      <c r="G265" s="171" t="s">
        <v>661</v>
      </c>
      <c r="H265" s="171" t="s">
        <v>127</v>
      </c>
      <c r="I265" s="171" t="s">
        <v>594</v>
      </c>
      <c r="J265" s="171" t="s">
        <v>37</v>
      </c>
      <c r="K265" s="171" t="s">
        <v>391</v>
      </c>
      <c r="L265" s="171" t="s">
        <v>385</v>
      </c>
      <c r="M265" s="171" t="s">
        <v>125</v>
      </c>
      <c r="N265" s="172" t="s">
        <v>156</v>
      </c>
      <c r="O265" s="172" t="s">
        <v>554</v>
      </c>
      <c r="P265" s="173">
        <v>44273</v>
      </c>
      <c r="Q265" s="171" t="s">
        <v>391</v>
      </c>
      <c r="R265" s="171" t="s">
        <v>391</v>
      </c>
      <c r="S265" s="172"/>
      <c r="T265" s="171" t="s">
        <v>1206</v>
      </c>
      <c r="U265" s="171" t="s">
        <v>1387</v>
      </c>
      <c r="V265" s="171" t="s">
        <v>1380</v>
      </c>
      <c r="W265" s="171"/>
      <c r="X265" s="171" t="s">
        <v>1383</v>
      </c>
      <c r="Y265" s="171" t="s">
        <v>1038</v>
      </c>
      <c r="Z265" s="174" t="s">
        <v>1384</v>
      </c>
      <c r="AA265" s="200" t="s">
        <v>1047</v>
      </c>
      <c r="AB265" s="200" t="s">
        <v>1313</v>
      </c>
      <c r="AC265" s="171" t="str">
        <f>V265</f>
        <v>originalPunchOutDatetime</v>
      </c>
      <c r="AD265" s="171" t="s">
        <v>1313</v>
      </c>
      <c r="AE265" s="174" t="s">
        <v>1307</v>
      </c>
      <c r="AF265" s="174" t="s">
        <v>1479</v>
      </c>
      <c r="AG265" s="174"/>
      <c r="AH265" s="174"/>
      <c r="AI265" s="176" t="s">
        <v>963</v>
      </c>
      <c r="AJ265" s="201" t="s">
        <v>1313</v>
      </c>
      <c r="AK265" s="201" t="s">
        <v>1307</v>
      </c>
      <c r="AL265" s="177"/>
      <c r="AM265" s="177"/>
      <c r="AN265" s="177" t="s">
        <v>963</v>
      </c>
      <c r="AO265" s="174"/>
      <c r="AP265" s="174"/>
      <c r="AQ265" s="174"/>
      <c r="AR265" s="174"/>
      <c r="AS265" s="174"/>
      <c r="AT265" s="174"/>
      <c r="AU265" s="174"/>
      <c r="AV265" s="174"/>
      <c r="AW265" s="176"/>
      <c r="AX265" s="140"/>
      <c r="AY265" s="140"/>
      <c r="AZ265" s="140"/>
      <c r="BA265" s="140"/>
      <c r="BB265" s="140"/>
      <c r="BC265" s="140"/>
      <c r="BD265" s="140"/>
      <c r="BE265" s="140"/>
      <c r="BF265" s="140"/>
    </row>
    <row r="266" spans="1:58" ht="51" x14ac:dyDescent="0.2">
      <c r="A266" s="171" t="s">
        <v>1416</v>
      </c>
      <c r="B266" s="171" t="s">
        <v>601</v>
      </c>
      <c r="C266" s="171" t="s">
        <v>507</v>
      </c>
      <c r="D266" s="171" t="s">
        <v>37</v>
      </c>
      <c r="E266" s="171" t="s">
        <v>6</v>
      </c>
      <c r="F266" s="171"/>
      <c r="G266" s="171" t="s">
        <v>661</v>
      </c>
      <c r="H266" s="171" t="s">
        <v>126</v>
      </c>
      <c r="I266" s="171" t="s">
        <v>594</v>
      </c>
      <c r="J266" s="171" t="s">
        <v>37</v>
      </c>
      <c r="K266" s="171" t="s">
        <v>392</v>
      </c>
      <c r="L266" s="171" t="s">
        <v>384</v>
      </c>
      <c r="M266" s="171" t="s">
        <v>125</v>
      </c>
      <c r="N266" s="172" t="s">
        <v>582</v>
      </c>
      <c r="O266" s="172" t="s">
        <v>554</v>
      </c>
      <c r="P266" s="173">
        <v>44273</v>
      </c>
      <c r="Q266" s="171" t="s">
        <v>392</v>
      </c>
      <c r="R266" s="171" t="s">
        <v>392</v>
      </c>
      <c r="S266" s="172"/>
      <c r="T266" s="171" t="s">
        <v>1206</v>
      </c>
      <c r="U266" s="171" t="s">
        <v>1387</v>
      </c>
      <c r="V266" s="171" t="s">
        <v>1381</v>
      </c>
      <c r="W266" s="171"/>
      <c r="X266" s="171" t="s">
        <v>1383</v>
      </c>
      <c r="Y266" s="171" t="s">
        <v>1038</v>
      </c>
      <c r="Z266" s="174" t="s">
        <v>1384</v>
      </c>
      <c r="AA266" s="200" t="s">
        <v>1048</v>
      </c>
      <c r="AB266" s="200" t="s">
        <v>1313</v>
      </c>
      <c r="AC266" s="171" t="str">
        <f>V266</f>
        <v>adjustedPunchInDateTime</v>
      </c>
      <c r="AD266" s="171" t="s">
        <v>1313</v>
      </c>
      <c r="AE266" s="174" t="s">
        <v>1308</v>
      </c>
      <c r="AF266" s="174" t="s">
        <v>1479</v>
      </c>
      <c r="AG266" s="174"/>
      <c r="AH266" s="174"/>
      <c r="AI266" s="176" t="s">
        <v>963</v>
      </c>
      <c r="AJ266" s="201" t="s">
        <v>1313</v>
      </c>
      <c r="AK266" s="201" t="s">
        <v>1308</v>
      </c>
      <c r="AL266" s="177"/>
      <c r="AM266" s="177"/>
      <c r="AN266" s="177" t="s">
        <v>963</v>
      </c>
      <c r="AO266" s="174"/>
      <c r="AP266" s="174"/>
      <c r="AQ266" s="174"/>
      <c r="AR266" s="174"/>
      <c r="AS266" s="174"/>
      <c r="AT266" s="174"/>
      <c r="AU266" s="174"/>
      <c r="AV266" s="174"/>
      <c r="AW266" s="176"/>
      <c r="AX266" s="140"/>
      <c r="AY266" s="140"/>
      <c r="AZ266" s="140"/>
      <c r="BA266" s="140"/>
      <c r="BB266" s="140"/>
      <c r="BC266" s="140"/>
      <c r="BD266" s="140"/>
      <c r="BE266" s="140"/>
      <c r="BF266" s="140"/>
    </row>
    <row r="267" spans="1:58" ht="51" x14ac:dyDescent="0.2">
      <c r="A267" s="171" t="s">
        <v>1416</v>
      </c>
      <c r="B267" s="171" t="s">
        <v>601</v>
      </c>
      <c r="C267" s="171" t="s">
        <v>507</v>
      </c>
      <c r="D267" s="171" t="s">
        <v>37</v>
      </c>
      <c r="E267" s="171" t="s">
        <v>7</v>
      </c>
      <c r="F267" s="171"/>
      <c r="G267" s="171" t="s">
        <v>661</v>
      </c>
      <c r="H267" s="171" t="s">
        <v>127</v>
      </c>
      <c r="I267" s="171" t="s">
        <v>594</v>
      </c>
      <c r="J267" s="171" t="s">
        <v>37</v>
      </c>
      <c r="K267" s="171" t="s">
        <v>393</v>
      </c>
      <c r="L267" s="171" t="s">
        <v>386</v>
      </c>
      <c r="M267" s="171" t="s">
        <v>125</v>
      </c>
      <c r="N267" s="172" t="s">
        <v>582</v>
      </c>
      <c r="O267" s="172" t="s">
        <v>554</v>
      </c>
      <c r="P267" s="173">
        <v>44273</v>
      </c>
      <c r="Q267" s="171" t="s">
        <v>393</v>
      </c>
      <c r="R267" s="171" t="s">
        <v>393</v>
      </c>
      <c r="S267" s="172"/>
      <c r="T267" s="171" t="s">
        <v>1206</v>
      </c>
      <c r="U267" s="171" t="s">
        <v>1387</v>
      </c>
      <c r="V267" s="171" t="s">
        <v>1382</v>
      </c>
      <c r="W267" s="171"/>
      <c r="X267" s="171" t="s">
        <v>1383</v>
      </c>
      <c r="Y267" s="171" t="s">
        <v>1038</v>
      </c>
      <c r="Z267" s="174" t="s">
        <v>1384</v>
      </c>
      <c r="AA267" s="200" t="s">
        <v>1049</v>
      </c>
      <c r="AB267" s="200" t="s">
        <v>1313</v>
      </c>
      <c r="AC267" s="171" t="str">
        <f>V267</f>
        <v>adjustedPunchOutdateTime</v>
      </c>
      <c r="AD267" s="171" t="s">
        <v>1313</v>
      </c>
      <c r="AE267" s="174" t="s">
        <v>1515</v>
      </c>
      <c r="AF267" s="174" t="s">
        <v>1479</v>
      </c>
      <c r="AG267" s="174"/>
      <c r="AH267" s="174"/>
      <c r="AI267" s="176" t="s">
        <v>963</v>
      </c>
      <c r="AJ267" s="201" t="s">
        <v>1313</v>
      </c>
      <c r="AK267" s="201" t="s">
        <v>1309</v>
      </c>
      <c r="AL267" s="177"/>
      <c r="AM267" s="177"/>
      <c r="AN267" s="177" t="s">
        <v>963</v>
      </c>
      <c r="AO267" s="174"/>
      <c r="AP267" s="174"/>
      <c r="AQ267" s="174"/>
      <c r="AR267" s="174"/>
      <c r="AS267" s="174"/>
      <c r="AT267" s="174"/>
      <c r="AU267" s="174"/>
      <c r="AV267" s="174"/>
      <c r="AW267" s="176"/>
      <c r="AX267" s="140"/>
      <c r="AY267" s="140"/>
      <c r="AZ267" s="140"/>
      <c r="BA267" s="140"/>
      <c r="BB267" s="140"/>
      <c r="BC267" s="140"/>
      <c r="BD267" s="140"/>
      <c r="BE267" s="140"/>
      <c r="BF267" s="140"/>
    </row>
    <row r="268" spans="1:58" ht="51" x14ac:dyDescent="0.2">
      <c r="A268" s="171" t="s">
        <v>1416</v>
      </c>
      <c r="B268" s="171" t="s">
        <v>601</v>
      </c>
      <c r="C268" s="171" t="s">
        <v>507</v>
      </c>
      <c r="D268" s="171" t="s">
        <v>37</v>
      </c>
      <c r="E268" s="171" t="s">
        <v>32</v>
      </c>
      <c r="F268" s="171"/>
      <c r="G268" s="171" t="s">
        <v>45</v>
      </c>
      <c r="H268" s="171"/>
      <c r="I268" s="171" t="s">
        <v>594</v>
      </c>
      <c r="J268" s="171" t="s">
        <v>37</v>
      </c>
      <c r="K268" s="171" t="s">
        <v>567</v>
      </c>
      <c r="L268" s="171" t="s">
        <v>387</v>
      </c>
      <c r="M268" s="171" t="s">
        <v>45</v>
      </c>
      <c r="N268" s="172" t="s">
        <v>586</v>
      </c>
      <c r="O268" s="172" t="s">
        <v>555</v>
      </c>
      <c r="P268" s="173">
        <v>44273</v>
      </c>
      <c r="Q268" s="171" t="s">
        <v>567</v>
      </c>
      <c r="R268" s="171" t="s">
        <v>567</v>
      </c>
      <c r="S268" s="172"/>
      <c r="T268" s="171"/>
      <c r="U268" s="171" t="s">
        <v>1206</v>
      </c>
      <c r="V268" s="171" t="s">
        <v>567</v>
      </c>
      <c r="W268" s="171"/>
      <c r="X268" s="171" t="s">
        <v>1383</v>
      </c>
      <c r="Y268" s="171" t="s">
        <v>1038</v>
      </c>
      <c r="Z268" s="174" t="s">
        <v>1384</v>
      </c>
      <c r="AA268" s="200" t="s">
        <v>1185</v>
      </c>
      <c r="AB268" s="200" t="s">
        <v>1313</v>
      </c>
      <c r="AC268" s="171" t="s">
        <v>567</v>
      </c>
      <c r="AD268" s="174" t="s">
        <v>1313</v>
      </c>
      <c r="AE268" s="174" t="s">
        <v>387</v>
      </c>
      <c r="AF268" s="174" t="s">
        <v>1479</v>
      </c>
      <c r="AG268" s="174"/>
      <c r="AH268" s="208"/>
      <c r="AI268" s="209"/>
      <c r="AJ268" s="198"/>
      <c r="AK268" s="201" t="str">
        <f>VLOOKUP(AC268,'TimePunch partly transfered'!Q:T,4,FALSE)</f>
        <v>Skifttyp</v>
      </c>
      <c r="AL268" s="177"/>
      <c r="AM268" s="198"/>
      <c r="AN268" s="177" t="s">
        <v>963</v>
      </c>
      <c r="AO268" s="174"/>
      <c r="AP268" s="174"/>
      <c r="AQ268" s="174"/>
      <c r="AR268" s="174"/>
      <c r="AS268" s="174"/>
      <c r="AT268" s="174"/>
      <c r="AU268" s="174"/>
      <c r="AV268" s="174"/>
      <c r="AW268" s="176"/>
      <c r="AX268" s="37"/>
      <c r="AY268" s="37"/>
      <c r="AZ268" s="37"/>
      <c r="BA268" s="37"/>
      <c r="BB268" s="37"/>
      <c r="BC268" s="37"/>
      <c r="BD268" s="37"/>
      <c r="BE268" s="37"/>
      <c r="BF268" s="37"/>
    </row>
    <row r="269" spans="1:58" ht="15" x14ac:dyDescent="0.2">
      <c r="A269" s="174"/>
      <c r="B269" s="174"/>
      <c r="C269" s="174"/>
      <c r="D269" s="174"/>
      <c r="E269" s="174"/>
      <c r="F269" s="174"/>
      <c r="G269" s="174"/>
      <c r="H269" s="174"/>
      <c r="I269" s="174"/>
      <c r="J269" s="174"/>
      <c r="K269" s="174"/>
      <c r="L269" s="174"/>
      <c r="M269" s="174"/>
      <c r="N269" s="174"/>
      <c r="O269" s="174"/>
      <c r="P269" s="174"/>
      <c r="Q269" s="174"/>
      <c r="R269" s="174"/>
      <c r="S269" s="174"/>
      <c r="T269" s="171" t="s">
        <v>1206</v>
      </c>
      <c r="U269" s="172" t="s">
        <v>1387</v>
      </c>
      <c r="V269" s="215" t="s">
        <v>1185</v>
      </c>
      <c r="W269" s="174" t="s">
        <v>1386</v>
      </c>
      <c r="X269" s="171" t="s">
        <v>1383</v>
      </c>
      <c r="Y269" s="171" t="s">
        <v>1038</v>
      </c>
      <c r="Z269" s="174" t="s">
        <v>1384</v>
      </c>
      <c r="AA269" s="200" t="s">
        <v>1185</v>
      </c>
      <c r="AB269" s="200" t="s">
        <v>1313</v>
      </c>
      <c r="AC269" s="171" t="s">
        <v>1185</v>
      </c>
      <c r="AD269" s="171" t="s">
        <v>1313</v>
      </c>
      <c r="AE269" s="174" t="s">
        <v>1310</v>
      </c>
      <c r="AF269" s="174" t="s">
        <v>1479</v>
      </c>
      <c r="AG269" s="174"/>
      <c r="AH269" s="174"/>
      <c r="AI269" s="176"/>
      <c r="AJ269" s="201" t="s">
        <v>1313</v>
      </c>
      <c r="AK269" s="201" t="s">
        <v>1310</v>
      </c>
      <c r="AL269" s="177"/>
      <c r="AM269" s="198"/>
      <c r="AN269" s="198"/>
      <c r="AO269" s="174"/>
      <c r="AP269" s="174"/>
      <c r="AQ269" s="174"/>
      <c r="AR269" s="174"/>
      <c r="AS269" s="174"/>
      <c r="AT269" s="174"/>
      <c r="AU269" s="174"/>
      <c r="AV269" s="174"/>
      <c r="AW269" s="176" t="s">
        <v>963</v>
      </c>
      <c r="AX269" s="37"/>
      <c r="AY269" s="37"/>
      <c r="AZ269" s="37"/>
      <c r="BA269" s="37"/>
      <c r="BB269" s="37"/>
      <c r="BC269" s="37"/>
      <c r="BD269" s="37"/>
      <c r="BE269" s="37"/>
      <c r="BF269" s="37"/>
    </row>
    <row r="270" spans="1:58" ht="15" x14ac:dyDescent="0.2">
      <c r="A270" s="174"/>
      <c r="B270" s="174"/>
      <c r="C270" s="174"/>
      <c r="D270" s="174"/>
      <c r="E270" s="174"/>
      <c r="F270" s="174"/>
      <c r="G270" s="174"/>
      <c r="H270" s="174"/>
      <c r="I270" s="174"/>
      <c r="J270" s="174"/>
      <c r="K270" s="174"/>
      <c r="L270" s="174"/>
      <c r="M270" s="174"/>
      <c r="N270" s="174"/>
      <c r="O270" s="174"/>
      <c r="P270" s="174"/>
      <c r="Q270" s="174"/>
      <c r="R270" s="174"/>
      <c r="S270" s="174"/>
      <c r="T270" s="171" t="s">
        <v>1206</v>
      </c>
      <c r="U270" s="172" t="s">
        <v>1387</v>
      </c>
      <c r="V270" s="215" t="s">
        <v>1184</v>
      </c>
      <c r="W270" s="214" t="s">
        <v>1385</v>
      </c>
      <c r="X270" s="171" t="s">
        <v>1383</v>
      </c>
      <c r="Y270" s="171" t="s">
        <v>1038</v>
      </c>
      <c r="Z270" s="174" t="s">
        <v>1384</v>
      </c>
      <c r="AA270" s="200" t="s">
        <v>1184</v>
      </c>
      <c r="AB270" s="200" t="s">
        <v>1313</v>
      </c>
      <c r="AC270" s="171" t="s">
        <v>1184</v>
      </c>
      <c r="AD270" s="171" t="s">
        <v>1313</v>
      </c>
      <c r="AE270" s="174" t="s">
        <v>1400</v>
      </c>
      <c r="AF270" s="174" t="s">
        <v>1549</v>
      </c>
      <c r="AG270" s="174"/>
      <c r="AH270" s="174"/>
      <c r="AI270" s="176"/>
      <c r="AJ270" s="201" t="s">
        <v>1313</v>
      </c>
      <c r="AK270" s="201" t="s">
        <v>1311</v>
      </c>
      <c r="AL270" s="177"/>
      <c r="AM270" s="198"/>
      <c r="AN270" s="198"/>
      <c r="AO270" s="174"/>
      <c r="AP270" s="174"/>
      <c r="AQ270" s="174"/>
      <c r="AR270" s="174"/>
      <c r="AS270" s="174"/>
      <c r="AT270" s="174"/>
      <c r="AU270" s="174"/>
      <c r="AV270" s="174"/>
      <c r="AW270" s="176" t="s">
        <v>963</v>
      </c>
      <c r="AX270" s="37"/>
      <c r="AY270" s="37"/>
      <c r="AZ270" s="37"/>
      <c r="BA270" s="37"/>
      <c r="BB270" s="37"/>
      <c r="BC270" s="37"/>
      <c r="BD270" s="37"/>
      <c r="BE270" s="37"/>
      <c r="BF270" s="37"/>
    </row>
    <row r="271" spans="1:58" ht="25.5" x14ac:dyDescent="0.2">
      <c r="A271" s="190"/>
      <c r="B271" s="190"/>
      <c r="C271" s="190"/>
      <c r="D271" s="190"/>
      <c r="E271" s="190"/>
      <c r="F271" s="190"/>
      <c r="G271" s="190"/>
      <c r="H271" s="190"/>
      <c r="I271" s="190"/>
      <c r="J271" s="190"/>
      <c r="K271" s="190"/>
      <c r="L271" s="190"/>
      <c r="M271" s="190"/>
      <c r="N271" s="190"/>
      <c r="O271" s="190"/>
      <c r="P271" s="190"/>
      <c r="Q271" s="190"/>
      <c r="R271" s="190"/>
      <c r="S271" s="190"/>
      <c r="T271" s="190"/>
      <c r="U271" s="190"/>
      <c r="V271" s="190"/>
      <c r="W271" s="190"/>
      <c r="X271" s="190"/>
      <c r="Y271" s="190"/>
      <c r="Z271" s="190"/>
      <c r="AA271" s="205"/>
      <c r="AB271" s="205"/>
      <c r="AC271" s="183" t="s">
        <v>1539</v>
      </c>
      <c r="AD271" s="183" t="s">
        <v>1313</v>
      </c>
      <c r="AE271" s="183" t="s">
        <v>1467</v>
      </c>
      <c r="AF271" s="183" t="s">
        <v>1549</v>
      </c>
      <c r="AG271" s="183"/>
      <c r="AH271" s="183" t="s">
        <v>1545</v>
      </c>
      <c r="AI271" s="183"/>
      <c r="AJ271" s="198"/>
      <c r="AK271" s="198"/>
      <c r="AL271" s="198"/>
      <c r="AM271" s="198"/>
      <c r="AN271" s="198"/>
      <c r="AO271" s="190"/>
      <c r="AP271" s="190" t="s">
        <v>1038</v>
      </c>
      <c r="AQ271" s="190" t="s">
        <v>1424</v>
      </c>
      <c r="AR271" s="190" t="s">
        <v>1425</v>
      </c>
      <c r="AS271" s="190"/>
      <c r="AT271" s="190"/>
      <c r="AU271" s="190"/>
      <c r="AV271" s="190"/>
      <c r="AW271" s="186"/>
      <c r="AX271" s="147"/>
      <c r="AY271" s="147"/>
      <c r="AZ271" s="147"/>
      <c r="BA271" s="147"/>
      <c r="BB271" s="147"/>
      <c r="BC271" s="147"/>
      <c r="BD271" s="147"/>
      <c r="BE271" s="147"/>
      <c r="BF271" s="147"/>
    </row>
    <row r="272" spans="1:58" x14ac:dyDescent="0.2">
      <c r="A272" s="174"/>
      <c r="B272" s="174"/>
      <c r="C272" s="174"/>
      <c r="D272" s="174"/>
      <c r="E272" s="174"/>
      <c r="F272" s="174"/>
      <c r="G272" s="174"/>
      <c r="H272" s="174"/>
      <c r="I272" s="174"/>
      <c r="J272" s="174"/>
      <c r="K272" s="174"/>
      <c r="L272" s="174"/>
      <c r="M272" s="174"/>
      <c r="N272" s="174"/>
      <c r="O272" s="174"/>
      <c r="P272" s="174"/>
      <c r="Q272" s="174"/>
      <c r="R272" s="174"/>
      <c r="S272" s="174"/>
      <c r="T272" s="174"/>
      <c r="U272" s="174"/>
      <c r="V272" s="174"/>
      <c r="W272" s="174"/>
      <c r="X272" s="174"/>
      <c r="Y272" s="174"/>
      <c r="Z272" s="174"/>
      <c r="AA272" s="205"/>
      <c r="AB272" s="205"/>
      <c r="AC272" s="174"/>
      <c r="AD272" s="174" t="s">
        <v>1313</v>
      </c>
      <c r="AE272" s="174" t="s">
        <v>1434</v>
      </c>
      <c r="AF272" s="174" t="s">
        <v>1479</v>
      </c>
      <c r="AG272" s="183"/>
      <c r="AH272" s="216" t="s">
        <v>1553</v>
      </c>
      <c r="AI272" s="192"/>
      <c r="AJ272" s="205"/>
      <c r="AK272" s="205"/>
      <c r="AL272" s="205"/>
      <c r="AM272" s="205"/>
      <c r="AN272" s="205"/>
      <c r="AO272" s="174"/>
      <c r="AP272" s="174"/>
      <c r="AQ272" s="174"/>
      <c r="AR272" s="174"/>
      <c r="AS272" s="174"/>
      <c r="AT272" s="174"/>
      <c r="AU272" s="174"/>
      <c r="AV272" s="174"/>
      <c r="AW272" s="176"/>
      <c r="AX272" s="129"/>
      <c r="AY272" s="129"/>
      <c r="AZ272" s="129"/>
      <c r="BA272" s="129"/>
      <c r="BB272" s="129"/>
      <c r="BC272" s="129"/>
      <c r="BD272" s="129"/>
      <c r="BE272" s="129"/>
      <c r="BF272" s="129"/>
    </row>
    <row r="273" spans="1:58" ht="25.5" x14ac:dyDescent="0.2">
      <c r="A273" s="183"/>
      <c r="B273" s="183"/>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205">
        <f>SUBTOTAL(9,AA50:AA272)</f>
        <v>0</v>
      </c>
      <c r="AB273" s="205"/>
      <c r="AC273" s="183"/>
      <c r="AD273" s="183" t="s">
        <v>1313</v>
      </c>
      <c r="AE273" s="190" t="s">
        <v>1540</v>
      </c>
      <c r="AF273" s="190" t="s">
        <v>1479</v>
      </c>
      <c r="AG273" s="183" t="s">
        <v>1546</v>
      </c>
      <c r="AH273" s="183"/>
      <c r="AI273" s="192"/>
      <c r="AJ273" s="205"/>
      <c r="AK273" s="205"/>
      <c r="AL273" s="205"/>
      <c r="AM273" s="205">
        <f>SUBTOTAL(9,AM50:AM272)</f>
        <v>0</v>
      </c>
      <c r="AN273" s="205"/>
      <c r="AO273" s="183"/>
      <c r="AP273" s="183">
        <f>SUBTOTAL(9,AP50:AP272)</f>
        <v>0</v>
      </c>
      <c r="AQ273" s="183">
        <f>SUBTOTAL(9,AQ50:AQ272)</f>
        <v>0</v>
      </c>
      <c r="AR273" s="183">
        <f>SUBTOTAL(9,AR50:AR272)</f>
        <v>0</v>
      </c>
      <c r="AS273" s="183"/>
      <c r="AT273" s="183"/>
      <c r="AU273" s="183">
        <f>SUBTOTAL(9,AU50:AU272)</f>
        <v>0</v>
      </c>
      <c r="AV273" s="183">
        <f>SUBTOTAL(9,AV50:AV272)</f>
        <v>0</v>
      </c>
      <c r="AW273" s="185">
        <f>SUBTOTAL(9,AW50:AW272)</f>
        <v>0</v>
      </c>
    </row>
    <row r="274" spans="1:58" x14ac:dyDescent="0.2">
      <c r="A274" s="183"/>
      <c r="B274" s="183"/>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205"/>
      <c r="AB274" s="205"/>
      <c r="AC274" s="183"/>
      <c r="AD274" s="183" t="s">
        <v>1313</v>
      </c>
      <c r="AE274" s="183" t="s">
        <v>1456</v>
      </c>
      <c r="AF274" s="183" t="s">
        <v>1549</v>
      </c>
      <c r="AG274" s="183"/>
      <c r="AH274" s="183"/>
      <c r="AI274" s="185"/>
      <c r="AJ274" s="205"/>
      <c r="AK274" s="205"/>
      <c r="AL274" s="205"/>
      <c r="AM274" s="205"/>
      <c r="AN274" s="205"/>
      <c r="AO274" s="183"/>
      <c r="AP274" s="183"/>
      <c r="AQ274" s="183"/>
      <c r="AR274" s="183"/>
      <c r="AS274" s="183"/>
      <c r="AT274" s="183"/>
      <c r="AU274" s="183"/>
      <c r="AV274" s="183"/>
      <c r="AW274" s="185"/>
    </row>
    <row r="275" spans="1:58" x14ac:dyDescent="0.2">
      <c r="A275" s="183"/>
      <c r="B275" s="183"/>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205"/>
      <c r="AB275" s="205"/>
      <c r="AC275" s="183"/>
      <c r="AD275" s="183" t="s">
        <v>1313</v>
      </c>
      <c r="AE275" s="183" t="s">
        <v>1457</v>
      </c>
      <c r="AF275" s="183" t="s">
        <v>1549</v>
      </c>
      <c r="AG275" s="183"/>
      <c r="AH275" s="183"/>
      <c r="AI275" s="185"/>
      <c r="AJ275" s="205"/>
      <c r="AK275" s="205"/>
      <c r="AL275" s="205"/>
      <c r="AM275" s="205"/>
      <c r="AN275" s="205"/>
      <c r="AO275" s="183"/>
      <c r="AP275" s="183"/>
      <c r="AQ275" s="183"/>
      <c r="AR275" s="183"/>
      <c r="AS275" s="183"/>
      <c r="AT275" s="183"/>
      <c r="AU275" s="183"/>
      <c r="AV275" s="183"/>
      <c r="AW275" s="185"/>
    </row>
    <row r="276" spans="1:58" ht="76.5" x14ac:dyDescent="0.2">
      <c r="A276" s="213"/>
      <c r="B276" s="213"/>
      <c r="C276" s="213"/>
      <c r="D276" s="213"/>
      <c r="E276" s="213"/>
      <c r="F276" s="213"/>
      <c r="G276" s="213"/>
      <c r="H276" s="213"/>
      <c r="I276" s="213"/>
      <c r="J276" s="213"/>
      <c r="K276" s="213"/>
      <c r="L276" s="213"/>
      <c r="M276" s="213"/>
      <c r="N276" s="213"/>
      <c r="O276" s="213"/>
      <c r="P276" s="213"/>
      <c r="Q276" s="213"/>
      <c r="R276" s="213"/>
      <c r="S276" s="213"/>
      <c r="T276" s="213"/>
      <c r="U276" s="213"/>
      <c r="V276" s="213"/>
      <c r="W276" s="213"/>
      <c r="X276" s="213"/>
      <c r="Y276" s="213"/>
      <c r="Z276" s="213"/>
      <c r="AA276" s="205"/>
      <c r="AB276" s="205"/>
      <c r="AC276" s="213"/>
      <c r="AD276" s="213" t="s">
        <v>1313</v>
      </c>
      <c r="AE276" s="183" t="s">
        <v>1475</v>
      </c>
      <c r="AF276" s="190" t="s">
        <v>1479</v>
      </c>
      <c r="AG276" s="183"/>
      <c r="AH276" s="213"/>
      <c r="AI276" s="192" t="s">
        <v>1587</v>
      </c>
      <c r="AJ276" s="205"/>
      <c r="AK276" s="205"/>
      <c r="AL276" s="205"/>
      <c r="AM276" s="205"/>
      <c r="AN276" s="205"/>
      <c r="AO276" s="213"/>
      <c r="AP276" s="213"/>
      <c r="AQ276" s="213"/>
      <c r="AR276" s="213"/>
      <c r="AS276" s="213"/>
      <c r="AT276" s="213"/>
      <c r="AU276" s="213"/>
      <c r="AV276" s="213"/>
      <c r="AW276" s="192"/>
      <c r="AX276" s="151"/>
      <c r="AY276" s="151"/>
      <c r="AZ276" s="151"/>
      <c r="BA276" s="151"/>
      <c r="BB276" s="151"/>
      <c r="BC276" s="151"/>
      <c r="BD276" s="151"/>
      <c r="BE276" s="151"/>
      <c r="BF276" s="151"/>
    </row>
    <row r="277" spans="1:58" x14ac:dyDescent="0.2">
      <c r="A277" s="213"/>
      <c r="B277" s="213"/>
      <c r="C277" s="213"/>
      <c r="D277" s="213"/>
      <c r="E277" s="213"/>
      <c r="F277" s="213"/>
      <c r="G277" s="213"/>
      <c r="H277" s="213"/>
      <c r="I277" s="213"/>
      <c r="J277" s="213"/>
      <c r="K277" s="213"/>
      <c r="L277" s="213"/>
      <c r="M277" s="213"/>
      <c r="N277" s="213"/>
      <c r="O277" s="213"/>
      <c r="P277" s="213"/>
      <c r="Q277" s="213"/>
      <c r="R277" s="213"/>
      <c r="S277" s="213"/>
      <c r="T277" s="213"/>
      <c r="U277" s="213"/>
      <c r="V277" s="213"/>
      <c r="W277" s="213"/>
      <c r="X277" s="171" t="s">
        <v>1383</v>
      </c>
      <c r="Y277" s="213" t="s">
        <v>1038</v>
      </c>
      <c r="Z277" s="174" t="s">
        <v>1384</v>
      </c>
      <c r="AA277" s="205"/>
      <c r="AB277" s="205"/>
      <c r="AC277" s="213" t="s">
        <v>379</v>
      </c>
      <c r="AD277" s="213" t="s">
        <v>1313</v>
      </c>
      <c r="AE277" s="183" t="s">
        <v>1476</v>
      </c>
      <c r="AF277" s="190" t="s">
        <v>1479</v>
      </c>
      <c r="AG277" s="183"/>
      <c r="AH277" s="213"/>
      <c r="AI277" s="213" t="s">
        <v>1556</v>
      </c>
      <c r="AJ277" s="205"/>
      <c r="AK277" s="205"/>
      <c r="AL277" s="205"/>
      <c r="AM277" s="205"/>
      <c r="AN277" s="205"/>
      <c r="AO277" s="213"/>
      <c r="AP277" s="213"/>
      <c r="AQ277" s="213"/>
      <c r="AR277" s="213"/>
      <c r="AS277" s="213"/>
      <c r="AT277" s="213"/>
      <c r="AU277" s="213"/>
      <c r="AV277" s="213"/>
      <c r="AW277" s="192"/>
      <c r="AX277" s="151"/>
      <c r="AY277" s="151"/>
      <c r="AZ277" s="151"/>
      <c r="BA277" s="151"/>
      <c r="BB277" s="151"/>
      <c r="BC277" s="151"/>
      <c r="BD277" s="151"/>
      <c r="BE277" s="151"/>
      <c r="BF277" s="151"/>
    </row>
    <row r="278" spans="1:58" x14ac:dyDescent="0.2">
      <c r="A278" s="183"/>
      <c r="B278" s="183"/>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205"/>
      <c r="AB278" s="205"/>
      <c r="AC278" s="183"/>
      <c r="AD278" s="183" t="s">
        <v>1313</v>
      </c>
      <c r="AE278" s="183" t="s">
        <v>568</v>
      </c>
      <c r="AF278" s="183" t="s">
        <v>1549</v>
      </c>
      <c r="AG278" s="183"/>
      <c r="AH278" s="183"/>
      <c r="AI278" s="185"/>
      <c r="AJ278" s="205"/>
      <c r="AK278" s="205"/>
      <c r="AL278" s="205"/>
      <c r="AM278" s="205"/>
      <c r="AN278" s="205"/>
      <c r="AO278" s="183"/>
      <c r="AP278" s="183"/>
      <c r="AQ278" s="183"/>
      <c r="AR278" s="183"/>
      <c r="AS278" s="183"/>
      <c r="AT278" s="183"/>
      <c r="AU278" s="183"/>
      <c r="AV278" s="183"/>
      <c r="AW278" s="185"/>
    </row>
    <row r="279" spans="1:58" x14ac:dyDescent="0.2">
      <c r="A279" s="183"/>
      <c r="B279" s="183"/>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205"/>
      <c r="AB279" s="205"/>
      <c r="AC279" s="183"/>
      <c r="AD279" s="183" t="s">
        <v>1313</v>
      </c>
      <c r="AE279" s="183" t="s">
        <v>1458</v>
      </c>
      <c r="AF279" s="183" t="s">
        <v>1549</v>
      </c>
      <c r="AG279" s="183"/>
      <c r="AH279" s="183"/>
      <c r="AI279" s="185"/>
      <c r="AJ279" s="205"/>
      <c r="AK279" s="205"/>
      <c r="AL279" s="205"/>
      <c r="AM279" s="205"/>
      <c r="AN279" s="205"/>
      <c r="AO279" s="183"/>
      <c r="AP279" s="183"/>
      <c r="AQ279" s="183"/>
      <c r="AR279" s="183"/>
      <c r="AS279" s="183"/>
      <c r="AT279" s="183"/>
      <c r="AU279" s="183"/>
      <c r="AV279" s="183"/>
      <c r="AW279" s="185"/>
    </row>
    <row r="280" spans="1:58" x14ac:dyDescent="0.2">
      <c r="A280" s="183"/>
      <c r="B280" s="183"/>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205"/>
      <c r="AB280" s="205"/>
      <c r="AC280" s="183"/>
      <c r="AD280" s="183" t="s">
        <v>1313</v>
      </c>
      <c r="AE280" s="183" t="s">
        <v>1541</v>
      </c>
      <c r="AF280" s="183" t="s">
        <v>1479</v>
      </c>
      <c r="AG280" s="183"/>
      <c r="AH280" s="183"/>
      <c r="AI280" s="185"/>
      <c r="AJ280" s="205"/>
      <c r="AK280" s="205"/>
      <c r="AL280" s="205"/>
      <c r="AM280" s="205"/>
      <c r="AN280" s="205"/>
      <c r="AO280" s="183"/>
      <c r="AP280" s="183"/>
      <c r="AQ280" s="183"/>
      <c r="AR280" s="183"/>
      <c r="AS280" s="183"/>
      <c r="AT280" s="183"/>
      <c r="AU280" s="183"/>
      <c r="AV280" s="183"/>
      <c r="AW280" s="185"/>
    </row>
    <row r="281" spans="1:58" x14ac:dyDescent="0.2">
      <c r="A281" s="213"/>
      <c r="B281" s="213"/>
      <c r="C281" s="213"/>
      <c r="D281" s="213"/>
      <c r="E281" s="213"/>
      <c r="F281" s="213"/>
      <c r="G281" s="213"/>
      <c r="H281" s="213"/>
      <c r="I281" s="213"/>
      <c r="J281" s="213"/>
      <c r="K281" s="213"/>
      <c r="L281" s="213"/>
      <c r="M281" s="213"/>
      <c r="N281" s="213"/>
      <c r="O281" s="213"/>
      <c r="P281" s="213"/>
      <c r="Q281" s="213"/>
      <c r="R281" s="213"/>
      <c r="S281" s="213"/>
      <c r="T281" s="213"/>
      <c r="U281" s="213"/>
      <c r="V281" s="213"/>
      <c r="W281" s="213"/>
      <c r="X281" s="213"/>
      <c r="Y281" s="213"/>
      <c r="Z281" s="213"/>
      <c r="AA281" s="205"/>
      <c r="AB281" s="205"/>
      <c r="AC281" s="213"/>
      <c r="AD281" s="213" t="s">
        <v>1313</v>
      </c>
      <c r="AE281" s="181" t="s">
        <v>1467</v>
      </c>
      <c r="AF281" s="213" t="s">
        <v>1479</v>
      </c>
      <c r="AG281" s="213"/>
      <c r="AH281" s="213"/>
      <c r="AI281" s="213" t="s">
        <v>1554</v>
      </c>
      <c r="AJ281" s="205"/>
      <c r="AK281" s="205"/>
      <c r="AL281" s="205"/>
      <c r="AM281" s="205"/>
      <c r="AN281" s="205"/>
      <c r="AO281" s="183"/>
      <c r="AP281" s="183"/>
      <c r="AQ281" s="183"/>
      <c r="AR281" s="183"/>
      <c r="AS281" s="183"/>
      <c r="AT281" s="183"/>
      <c r="AU281" s="183"/>
      <c r="AV281" s="183"/>
      <c r="AW281" s="185"/>
    </row>
    <row r="282" spans="1:58" ht="38.25" x14ac:dyDescent="0.2">
      <c r="A282" s="171" t="s">
        <v>1416</v>
      </c>
      <c r="B282" s="171" t="s">
        <v>601</v>
      </c>
      <c r="C282" s="171" t="s">
        <v>507</v>
      </c>
      <c r="D282" s="172" t="s">
        <v>38</v>
      </c>
      <c r="E282" s="171" t="s">
        <v>347</v>
      </c>
      <c r="F282" s="171"/>
      <c r="G282" s="171"/>
      <c r="H282" s="171" t="s">
        <v>523</v>
      </c>
      <c r="I282" s="171" t="s">
        <v>594</v>
      </c>
      <c r="J282" s="172" t="s">
        <v>757</v>
      </c>
      <c r="K282" s="172" t="s">
        <v>568</v>
      </c>
      <c r="L282" s="172" t="s">
        <v>332</v>
      </c>
      <c r="M282" s="172" t="s">
        <v>45</v>
      </c>
      <c r="N282" s="172" t="s">
        <v>889</v>
      </c>
      <c r="O282" s="172" t="s">
        <v>555</v>
      </c>
      <c r="P282" s="172">
        <v>44277</v>
      </c>
      <c r="Q282" s="171" t="s">
        <v>568</v>
      </c>
      <c r="R282" s="171" t="s">
        <v>568</v>
      </c>
      <c r="S282" s="172" t="s">
        <v>36</v>
      </c>
      <c r="T282" s="172" t="s">
        <v>1206</v>
      </c>
      <c r="U282" s="172" t="s">
        <v>1215</v>
      </c>
      <c r="V282" s="171" t="str">
        <f>R282</f>
        <v>serviceDeliveryKey</v>
      </c>
      <c r="W282" s="172"/>
      <c r="X282" s="171" t="s">
        <v>1383</v>
      </c>
      <c r="Y282" s="171" t="s">
        <v>1168</v>
      </c>
      <c r="Z282" s="174" t="s">
        <v>1147</v>
      </c>
      <c r="AA282" s="175" t="s">
        <v>568</v>
      </c>
      <c r="AB282" s="200"/>
      <c r="AC282" s="174" t="str">
        <f>V282</f>
        <v>serviceDeliveryKey</v>
      </c>
      <c r="AD282" s="174" t="s">
        <v>1408</v>
      </c>
      <c r="AE282" s="174" t="s">
        <v>568</v>
      </c>
      <c r="AF282" s="174" t="s">
        <v>1549</v>
      </c>
      <c r="AG282" s="174"/>
      <c r="AH282" s="174"/>
      <c r="AI282" s="176" t="s">
        <v>1059</v>
      </c>
      <c r="AJ282" s="198" t="s">
        <v>1408</v>
      </c>
      <c r="AK282" s="177" t="s">
        <v>332</v>
      </c>
      <c r="AL282" s="177"/>
      <c r="AM282" s="198">
        <f>SUBTOTAL(9,H282:Y282)</f>
        <v>44277</v>
      </c>
      <c r="AN282" s="177" t="s">
        <v>1059</v>
      </c>
      <c r="AO282" s="174"/>
      <c r="AP282" s="174"/>
      <c r="AQ282" s="174"/>
      <c r="AR282" s="174"/>
      <c r="AS282" s="174"/>
      <c r="AT282" s="174"/>
      <c r="AU282" s="174"/>
      <c r="AV282" s="174"/>
      <c r="AW282" s="176"/>
    </row>
    <row r="283" spans="1:58" ht="15" customHeight="1" x14ac:dyDescent="0.25">
      <c r="A283" s="171" t="s">
        <v>1416</v>
      </c>
      <c r="B283" s="171" t="s">
        <v>601</v>
      </c>
      <c r="C283" s="171" t="s">
        <v>507</v>
      </c>
      <c r="D283" s="172" t="s">
        <v>38</v>
      </c>
      <c r="E283" s="171" t="s">
        <v>529</v>
      </c>
      <c r="F283" s="171"/>
      <c r="G283" s="171"/>
      <c r="H283" s="171" t="s">
        <v>530</v>
      </c>
      <c r="I283" s="171" t="s">
        <v>594</v>
      </c>
      <c r="J283" s="172" t="s">
        <v>757</v>
      </c>
      <c r="K283" s="171" t="s">
        <v>367</v>
      </c>
      <c r="L283" s="172" t="s">
        <v>610</v>
      </c>
      <c r="M283" s="172" t="s">
        <v>342</v>
      </c>
      <c r="N283" s="172"/>
      <c r="O283" s="172" t="s">
        <v>342</v>
      </c>
      <c r="P283" s="172">
        <v>44277</v>
      </c>
      <c r="Q283" s="171" t="s">
        <v>367</v>
      </c>
      <c r="R283" s="171" t="s">
        <v>367</v>
      </c>
      <c r="S283" s="172"/>
      <c r="T283" s="172" t="s">
        <v>1206</v>
      </c>
      <c r="U283" s="172" t="s">
        <v>1215</v>
      </c>
      <c r="V283" s="171" t="str">
        <f>R283</f>
        <v>causeForAttendance</v>
      </c>
      <c r="W283" s="171"/>
      <c r="X283" s="171" t="s">
        <v>1383</v>
      </c>
      <c r="Y283" s="171" t="s">
        <v>1168</v>
      </c>
      <c r="Z283" s="172" t="s">
        <v>1409</v>
      </c>
      <c r="AA283" s="175" t="s">
        <v>367</v>
      </c>
      <c r="AB283" s="204"/>
      <c r="AC283" s="174" t="str">
        <f>V283</f>
        <v>causeForAttendance</v>
      </c>
      <c r="AD283" s="174" t="s">
        <v>1408</v>
      </c>
      <c r="AE283" s="174" t="s">
        <v>610</v>
      </c>
      <c r="AF283" s="174" t="s">
        <v>1549</v>
      </c>
      <c r="AG283" s="174"/>
      <c r="AH283" s="174"/>
      <c r="AI283" s="176" t="s">
        <v>1499</v>
      </c>
      <c r="AJ283" s="198" t="s">
        <v>1408</v>
      </c>
      <c r="AK283" s="177" t="s">
        <v>610</v>
      </c>
      <c r="AL283" s="177"/>
      <c r="AM283" s="198">
        <f>SUBTOTAL(9,H283:Y283)</f>
        <v>44277</v>
      </c>
      <c r="AN283" s="177" t="s">
        <v>963</v>
      </c>
      <c r="AO283" s="174"/>
      <c r="AP283" s="174"/>
      <c r="AQ283" s="174"/>
      <c r="AR283" s="174"/>
      <c r="AS283" s="174"/>
      <c r="AT283" s="174"/>
      <c r="AU283" s="174"/>
      <c r="AV283" s="174"/>
      <c r="AW283" s="176"/>
      <c r="AX283" s="37"/>
      <c r="AY283" s="37"/>
      <c r="AZ283" s="37"/>
      <c r="BA283" s="37"/>
      <c r="BB283" s="37"/>
      <c r="BC283" s="37"/>
      <c r="BD283" s="37"/>
      <c r="BE283" s="37"/>
      <c r="BF283" s="37"/>
    </row>
    <row r="284" spans="1:58" x14ac:dyDescent="0.2">
      <c r="A284" s="183"/>
      <c r="B284" s="183"/>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205"/>
      <c r="AB284" s="205"/>
      <c r="AC284" s="183" t="s">
        <v>669</v>
      </c>
      <c r="AD284" s="174" t="s">
        <v>1408</v>
      </c>
      <c r="AE284" s="183" t="s">
        <v>669</v>
      </c>
      <c r="AF284" s="183" t="s">
        <v>1549</v>
      </c>
      <c r="AG284" s="183"/>
      <c r="AH284" s="183"/>
      <c r="AI284" s="185"/>
      <c r="AJ284" s="205"/>
      <c r="AK284" s="205"/>
      <c r="AL284" s="205"/>
      <c r="AM284" s="205"/>
      <c r="AN284" s="205"/>
      <c r="AO284" s="183"/>
      <c r="AP284" s="183"/>
      <c r="AQ284" s="183"/>
      <c r="AR284" s="183"/>
      <c r="AS284" s="183"/>
      <c r="AT284" s="183"/>
      <c r="AU284" s="183"/>
      <c r="AV284" s="183"/>
      <c r="AW284" s="185"/>
    </row>
    <row r="285" spans="1:58" x14ac:dyDescent="0.2">
      <c r="A285" s="183"/>
      <c r="B285" s="183"/>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205"/>
      <c r="AB285" s="205"/>
      <c r="AC285" s="183" t="s">
        <v>368</v>
      </c>
      <c r="AD285" s="174" t="s">
        <v>1408</v>
      </c>
      <c r="AE285" s="183" t="s">
        <v>368</v>
      </c>
      <c r="AF285" s="183" t="s">
        <v>1549</v>
      </c>
      <c r="AG285" s="183"/>
      <c r="AH285" s="183"/>
      <c r="AI285" s="185"/>
      <c r="AJ285" s="205"/>
      <c r="AK285" s="205"/>
      <c r="AL285" s="205"/>
      <c r="AM285" s="205"/>
      <c r="AN285" s="205"/>
      <c r="AO285" s="183"/>
      <c r="AP285" s="183"/>
      <c r="AQ285" s="183"/>
      <c r="AR285" s="183"/>
      <c r="AS285" s="183"/>
      <c r="AT285" s="183"/>
      <c r="AU285" s="183"/>
      <c r="AV285" s="183"/>
      <c r="AW285" s="185"/>
    </row>
    <row r="286" spans="1:58" ht="63.75" x14ac:dyDescent="0.2">
      <c r="A286" s="180" t="s">
        <v>1416</v>
      </c>
      <c r="B286" s="180" t="s">
        <v>908</v>
      </c>
      <c r="C286" s="180" t="s">
        <v>507</v>
      </c>
      <c r="D286" s="180" t="s">
        <v>748</v>
      </c>
      <c r="E286" s="180" t="s">
        <v>47</v>
      </c>
      <c r="F286" s="180" t="s">
        <v>930</v>
      </c>
      <c r="G286" s="180"/>
      <c r="H286" s="180" t="s">
        <v>891</v>
      </c>
      <c r="I286" s="181" t="s">
        <v>651</v>
      </c>
      <c r="J286" s="181" t="s">
        <v>748</v>
      </c>
      <c r="K286" s="180" t="s">
        <v>47</v>
      </c>
      <c r="L286" s="181" t="s">
        <v>892</v>
      </c>
      <c r="M286" s="180"/>
      <c r="N286" s="181" t="s">
        <v>902</v>
      </c>
      <c r="O286" s="181" t="s">
        <v>342</v>
      </c>
      <c r="P286" s="182">
        <v>44337</v>
      </c>
      <c r="Q286" s="180" t="s">
        <v>821</v>
      </c>
      <c r="R286" s="180" t="s">
        <v>821</v>
      </c>
      <c r="S286" s="180"/>
      <c r="T286" s="180" t="s">
        <v>1206</v>
      </c>
      <c r="U286" s="180" t="s">
        <v>1209</v>
      </c>
      <c r="V286" s="180" t="s">
        <v>821</v>
      </c>
      <c r="W286" s="180"/>
      <c r="X286" s="180" t="s">
        <v>1383</v>
      </c>
      <c r="Y286" s="180"/>
      <c r="Z286" s="183"/>
      <c r="AA286" s="175"/>
      <c r="AB286" s="175"/>
      <c r="AC286" s="183"/>
      <c r="AD286" s="183"/>
      <c r="AE286" s="183"/>
      <c r="AF286" s="190" t="s">
        <v>1549</v>
      </c>
      <c r="AG286" s="183"/>
      <c r="AH286" s="183"/>
      <c r="AI286" s="192" t="s">
        <v>963</v>
      </c>
      <c r="AJ286" s="177" t="s">
        <v>1148</v>
      </c>
      <c r="AK286" s="177" t="s">
        <v>892</v>
      </c>
      <c r="AL286" s="177"/>
      <c r="AM286" s="177"/>
      <c r="AN286" s="177" t="s">
        <v>963</v>
      </c>
      <c r="AO286" s="183" t="str">
        <f>X286</f>
        <v>wfm_dm_v1</v>
      </c>
      <c r="AP286" s="183">
        <f>Y286</f>
        <v>0</v>
      </c>
      <c r="AQ286" s="183">
        <f>Z286</f>
        <v>0</v>
      </c>
      <c r="AR286" s="183">
        <f>AC286</f>
        <v>0</v>
      </c>
      <c r="AS286" s="183">
        <f>AD286</f>
        <v>0</v>
      </c>
      <c r="AT286" s="183">
        <f>AE286</f>
        <v>0</v>
      </c>
      <c r="AU286" s="183">
        <f>AG286</f>
        <v>0</v>
      </c>
      <c r="AV286" s="183">
        <f>AH286</f>
        <v>0</v>
      </c>
      <c r="AW286" s="185" t="str">
        <f>AI286</f>
        <v/>
      </c>
    </row>
    <row r="287" spans="1:58" x14ac:dyDescent="0.2">
      <c r="A287" s="171"/>
      <c r="B287" s="171"/>
      <c r="C287" s="171"/>
      <c r="D287" s="171"/>
      <c r="E287" s="171"/>
      <c r="F287" s="171"/>
      <c r="G287" s="171"/>
      <c r="H287" s="183"/>
      <c r="I287" s="183"/>
      <c r="J287" s="183"/>
      <c r="K287" s="183"/>
      <c r="L287" s="183"/>
      <c r="M287" s="183"/>
      <c r="N287" s="183"/>
      <c r="O287" s="183"/>
      <c r="P287" s="183"/>
      <c r="Q287" s="183" t="s">
        <v>332</v>
      </c>
      <c r="R287" s="183" t="s">
        <v>1011</v>
      </c>
      <c r="S287" s="171"/>
      <c r="T287" s="171" t="s">
        <v>1206</v>
      </c>
      <c r="U287" s="171" t="s">
        <v>1207</v>
      </c>
      <c r="V287" s="171" t="s">
        <v>1223</v>
      </c>
      <c r="W287" s="171" t="s">
        <v>905</v>
      </c>
      <c r="X287" s="171"/>
      <c r="Y287" s="171"/>
      <c r="Z287" s="174"/>
      <c r="AA287" s="205"/>
      <c r="AB287" s="175"/>
      <c r="AC287" s="171"/>
      <c r="AD287" s="174"/>
      <c r="AE287" s="174" t="s">
        <v>332</v>
      </c>
      <c r="AF287" s="174" t="s">
        <v>1549</v>
      </c>
      <c r="AG287" s="174"/>
      <c r="AH287" s="174"/>
      <c r="AI287" s="183" t="s">
        <v>963</v>
      </c>
      <c r="AJ287" s="177"/>
      <c r="AK287" s="177" t="s">
        <v>963</v>
      </c>
      <c r="AL287" s="177"/>
      <c r="AM287" s="177"/>
      <c r="AN287" s="177" t="s">
        <v>963</v>
      </c>
      <c r="AO287" s="174"/>
      <c r="AP287" s="174"/>
      <c r="AQ287" s="174"/>
      <c r="AR287" s="174"/>
      <c r="AS287" s="174"/>
      <c r="AT287" s="174"/>
      <c r="AU287" s="174"/>
      <c r="AV287" s="174"/>
      <c r="AW287" s="176"/>
      <c r="AX287" s="140"/>
      <c r="AY287" s="140"/>
      <c r="AZ287" s="140"/>
      <c r="BA287" s="140"/>
      <c r="BB287" s="140"/>
      <c r="BC287" s="140"/>
      <c r="BD287" s="140"/>
      <c r="BE287" s="140"/>
      <c r="BF287" s="140"/>
    </row>
    <row r="288" spans="1:58" ht="15" x14ac:dyDescent="0.2">
      <c r="A288" s="223"/>
      <c r="B288" s="223"/>
      <c r="C288" s="223"/>
      <c r="D288" s="223"/>
      <c r="E288" s="223"/>
      <c r="F288" s="223"/>
      <c r="G288" s="223"/>
      <c r="H288" s="223"/>
      <c r="I288" s="223"/>
      <c r="J288" s="223"/>
      <c r="K288" s="223"/>
      <c r="L288" s="130"/>
      <c r="M288" s="223"/>
      <c r="N288" s="223"/>
      <c r="O288" s="223"/>
      <c r="P288" s="223"/>
      <c r="Q288" s="223" t="s">
        <v>332</v>
      </c>
      <c r="R288" s="227" t="s">
        <v>945</v>
      </c>
      <c r="S288" s="223"/>
      <c r="T288" s="223" t="s">
        <v>1206</v>
      </c>
      <c r="U288" s="223" t="s">
        <v>956</v>
      </c>
      <c r="V288" s="223" t="s">
        <v>960</v>
      </c>
      <c r="W288" s="223" t="s">
        <v>961</v>
      </c>
      <c r="X288" s="223" t="s">
        <v>1383</v>
      </c>
      <c r="Y288" s="223"/>
      <c r="Z288" s="129"/>
      <c r="AB288" s="140"/>
      <c r="AC288" s="223"/>
      <c r="AD288" s="129"/>
      <c r="AE288" s="129" t="s">
        <v>332</v>
      </c>
      <c r="AF288" s="129" t="s">
        <v>1549</v>
      </c>
      <c r="AG288" s="129"/>
      <c r="AH288" s="129"/>
      <c r="AI288" s="130" t="s">
        <v>962</v>
      </c>
      <c r="AJ288" s="228"/>
      <c r="AK288" s="228" t="s">
        <v>963</v>
      </c>
      <c r="AL288" s="228"/>
      <c r="AM288" s="228"/>
      <c r="AN288" s="228" t="s">
        <v>962</v>
      </c>
      <c r="AO288" s="129"/>
      <c r="AP288" s="129"/>
      <c r="AQ288" s="129"/>
      <c r="AR288" s="129"/>
      <c r="AS288" s="129"/>
      <c r="AT288" s="129"/>
      <c r="AU288" s="129"/>
      <c r="AV288" s="129"/>
      <c r="AW288" s="230"/>
      <c r="AX288" s="140"/>
      <c r="AY288" s="140"/>
      <c r="AZ288" s="140"/>
      <c r="BA288" s="140"/>
      <c r="BB288" s="140"/>
      <c r="BC288" s="175"/>
      <c r="BD288" s="140"/>
      <c r="BE288" s="140"/>
      <c r="BF288" s="140"/>
    </row>
    <row r="289" spans="1:58" ht="15" x14ac:dyDescent="0.2">
      <c r="A289" s="223"/>
      <c r="B289" s="223"/>
      <c r="C289" s="223"/>
      <c r="D289" s="223"/>
      <c r="E289" s="223"/>
      <c r="F289" s="223"/>
      <c r="G289" s="223"/>
      <c r="H289" s="223"/>
      <c r="I289" s="223"/>
      <c r="J289" s="223"/>
      <c r="K289" s="223"/>
      <c r="L289" s="130"/>
      <c r="M289" s="223"/>
      <c r="N289" s="223"/>
      <c r="O289" s="223"/>
      <c r="P289" s="223"/>
      <c r="Q289" s="223" t="s">
        <v>332</v>
      </c>
      <c r="R289" s="227" t="s">
        <v>945</v>
      </c>
      <c r="S289" s="223"/>
      <c r="T289" s="223" t="s">
        <v>1206</v>
      </c>
      <c r="U289" s="223" t="s">
        <v>956</v>
      </c>
      <c r="V289" s="223" t="s">
        <v>964</v>
      </c>
      <c r="W289" s="223" t="s">
        <v>964</v>
      </c>
      <c r="X289" s="223" t="s">
        <v>1383</v>
      </c>
      <c r="Y289" s="223"/>
      <c r="Z289" s="129"/>
      <c r="AB289" s="140"/>
      <c r="AC289" s="223"/>
      <c r="AD289" s="129"/>
      <c r="AE289" s="129" t="s">
        <v>332</v>
      </c>
      <c r="AF289" s="129" t="s">
        <v>1549</v>
      </c>
      <c r="AG289" s="129"/>
      <c r="AH289" s="129"/>
      <c r="AI289" s="130" t="s">
        <v>965</v>
      </c>
      <c r="AJ289" s="228"/>
      <c r="AK289" s="228" t="s">
        <v>963</v>
      </c>
      <c r="AL289" s="228"/>
      <c r="AM289" s="228"/>
      <c r="AN289" s="228" t="s">
        <v>965</v>
      </c>
      <c r="AO289" s="129"/>
      <c r="AP289" s="129"/>
      <c r="AQ289" s="129"/>
      <c r="AR289" s="129"/>
      <c r="AS289" s="129"/>
      <c r="AT289" s="129"/>
      <c r="AU289" s="129"/>
      <c r="AV289" s="129"/>
      <c r="AW289" s="230"/>
      <c r="AX289" s="140"/>
      <c r="AY289" s="140"/>
      <c r="AZ289" s="140"/>
      <c r="BA289" s="140"/>
      <c r="BB289" s="140"/>
      <c r="BC289" s="175"/>
      <c r="BD289" s="140"/>
      <c r="BE289" s="140"/>
      <c r="BF289" s="140"/>
    </row>
    <row r="290" spans="1:58" ht="15" x14ac:dyDescent="0.2">
      <c r="A290" s="223"/>
      <c r="B290" s="223"/>
      <c r="C290" s="223"/>
      <c r="D290" s="223"/>
      <c r="E290" s="223"/>
      <c r="F290" s="223"/>
      <c r="G290" s="223"/>
      <c r="H290" s="223"/>
      <c r="I290" s="223"/>
      <c r="J290" s="223"/>
      <c r="K290" s="223"/>
      <c r="L290" s="130"/>
      <c r="M290" s="223"/>
      <c r="N290" s="223"/>
      <c r="O290" s="223"/>
      <c r="P290" s="223"/>
      <c r="Q290" s="223" t="s">
        <v>332</v>
      </c>
      <c r="R290" s="227" t="s">
        <v>945</v>
      </c>
      <c r="S290" s="223"/>
      <c r="T290" s="223" t="s">
        <v>1206</v>
      </c>
      <c r="U290" s="223" t="s">
        <v>956</v>
      </c>
      <c r="V290" s="223" t="s">
        <v>966</v>
      </c>
      <c r="W290" s="223" t="s">
        <v>966</v>
      </c>
      <c r="X290" s="223" t="s">
        <v>1383</v>
      </c>
      <c r="Y290" s="223"/>
      <c r="Z290" s="129"/>
      <c r="AB290" s="140"/>
      <c r="AC290" s="223"/>
      <c r="AD290" s="129"/>
      <c r="AE290" s="129" t="s">
        <v>332</v>
      </c>
      <c r="AF290" s="129" t="s">
        <v>1549</v>
      </c>
      <c r="AG290" s="129"/>
      <c r="AH290" s="129"/>
      <c r="AI290" s="130" t="s">
        <v>967</v>
      </c>
      <c r="AJ290" s="228"/>
      <c r="AK290" s="228" t="s">
        <v>963</v>
      </c>
      <c r="AL290" s="228"/>
      <c r="AM290" s="228"/>
      <c r="AN290" s="228" t="s">
        <v>967</v>
      </c>
      <c r="AO290" s="129"/>
      <c r="AP290" s="129"/>
      <c r="AQ290" s="129"/>
      <c r="AR290" s="129"/>
      <c r="AS290" s="129"/>
      <c r="AT290" s="129"/>
      <c r="AU290" s="129"/>
      <c r="AV290" s="129"/>
      <c r="AW290" s="230"/>
      <c r="AX290" s="140"/>
      <c r="AY290" s="140"/>
      <c r="AZ290" s="140"/>
      <c r="BA290" s="140"/>
      <c r="BB290" s="140"/>
      <c r="BC290" s="175"/>
      <c r="BD290" s="140"/>
      <c r="BE290" s="140"/>
      <c r="BF290" s="140"/>
    </row>
    <row r="291" spans="1:58" x14ac:dyDescent="0.2">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223"/>
      <c r="Y291" s="129"/>
      <c r="Z291" s="129"/>
      <c r="AC291" s="130"/>
      <c r="AD291" s="130"/>
      <c r="AE291" s="147" t="s">
        <v>1267</v>
      </c>
      <c r="AF291" s="147" t="s">
        <v>1479</v>
      </c>
      <c r="AG291" s="130"/>
      <c r="AH291" s="129" t="s">
        <v>1626</v>
      </c>
      <c r="AO291" s="129"/>
      <c r="AP291" s="129"/>
      <c r="AQ291" s="129"/>
      <c r="AR291" s="129"/>
      <c r="AS291" s="129"/>
      <c r="AT291" s="129"/>
      <c r="AU291" s="129"/>
      <c r="AV291" s="129"/>
      <c r="AW291" s="230"/>
      <c r="AX291" s="129"/>
      <c r="AY291" s="129"/>
      <c r="AZ291" s="129"/>
      <c r="BA291" s="129"/>
      <c r="BB291" s="129"/>
      <c r="BC291" s="174"/>
      <c r="BD291" s="129"/>
      <c r="BE291" s="129"/>
      <c r="BF291" s="129"/>
    </row>
    <row r="292" spans="1:58" x14ac:dyDescent="0.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223"/>
      <c r="Y292" s="129"/>
      <c r="Z292" s="129"/>
      <c r="AC292" s="130"/>
      <c r="AD292" s="130"/>
      <c r="AE292" s="147" t="s">
        <v>1627</v>
      </c>
      <c r="AF292" s="147"/>
      <c r="AG292" s="130"/>
      <c r="AH292" s="129" t="s">
        <v>1628</v>
      </c>
      <c r="AO292" s="129"/>
      <c r="AP292" s="129"/>
      <c r="AQ292" s="129"/>
      <c r="AR292" s="129"/>
      <c r="AS292" s="129"/>
      <c r="AT292" s="129"/>
      <c r="AU292" s="129"/>
      <c r="AV292" s="129"/>
      <c r="AW292" s="230"/>
      <c r="AX292" s="129"/>
      <c r="AY292" s="129"/>
      <c r="AZ292" s="129"/>
      <c r="BA292" s="129"/>
      <c r="BB292" s="129"/>
      <c r="BC292" s="174"/>
      <c r="BD292" s="129"/>
      <c r="BE292" s="129"/>
      <c r="BF292" s="129"/>
    </row>
    <row r="293" spans="1:58" x14ac:dyDescent="0.2">
      <c r="A293" s="130"/>
      <c r="B293" s="130"/>
      <c r="C293" s="130"/>
      <c r="D293" s="130"/>
      <c r="E293" s="130"/>
      <c r="F293" s="130"/>
      <c r="G293" s="130"/>
      <c r="H293" s="130"/>
      <c r="I293" s="130"/>
      <c r="J293" s="130"/>
      <c r="K293" s="130"/>
      <c r="L293" s="130"/>
      <c r="M293" s="130"/>
      <c r="N293" s="130"/>
      <c r="O293" s="130"/>
      <c r="P293" s="130"/>
      <c r="Q293" s="130"/>
      <c r="R293" s="130"/>
      <c r="S293" s="130"/>
      <c r="T293" s="130"/>
      <c r="U293" s="130"/>
      <c r="V293" s="130"/>
      <c r="W293" s="130"/>
      <c r="X293" s="225" t="s">
        <v>1383</v>
      </c>
      <c r="Y293" s="151" t="s">
        <v>1038</v>
      </c>
      <c r="Z293" s="129" t="s">
        <v>1143</v>
      </c>
      <c r="AC293" s="130" t="s">
        <v>1224</v>
      </c>
      <c r="AD293" s="130"/>
      <c r="AE293" s="147" t="s">
        <v>1591</v>
      </c>
      <c r="AF293" s="147"/>
      <c r="AG293" s="130"/>
      <c r="AH293" s="130"/>
      <c r="AI293" s="130"/>
      <c r="BC293" s="183"/>
    </row>
    <row r="294" spans="1:58" x14ac:dyDescent="0.2">
      <c r="X294" s="224"/>
      <c r="Z294" s="130"/>
      <c r="AF294" s="147" t="s">
        <v>1479</v>
      </c>
      <c r="BC294" s="183"/>
    </row>
    <row r="295" spans="1:58" x14ac:dyDescent="0.2">
      <c r="AE295" s="147" t="s">
        <v>1531</v>
      </c>
      <c r="AF295" s="147" t="s">
        <v>1479</v>
      </c>
      <c r="BC295" s="183"/>
    </row>
    <row r="296" spans="1:58" x14ac:dyDescent="0.2">
      <c r="AF296" s="151" t="s">
        <v>1479</v>
      </c>
      <c r="BC296" s="183"/>
    </row>
    <row r="297" spans="1:58" x14ac:dyDescent="0.2">
      <c r="AF297" s="151" t="s">
        <v>1479</v>
      </c>
      <c r="BC297" s="183"/>
    </row>
    <row r="298" spans="1:58" x14ac:dyDescent="0.2">
      <c r="AF298" s="151" t="s">
        <v>1479</v>
      </c>
      <c r="BC298" s="183"/>
    </row>
    <row r="299" spans="1:58" x14ac:dyDescent="0.2">
      <c r="AF299" s="151" t="s">
        <v>1479</v>
      </c>
      <c r="BC299" s="183"/>
    </row>
    <row r="300" spans="1:58" ht="51" x14ac:dyDescent="0.2">
      <c r="A300" s="224" t="s">
        <v>1416</v>
      </c>
      <c r="B300" s="224" t="s">
        <v>601</v>
      </c>
      <c r="C300" s="224" t="s">
        <v>507</v>
      </c>
      <c r="D300" s="225" t="s">
        <v>38</v>
      </c>
      <c r="E300" s="224" t="s">
        <v>534</v>
      </c>
      <c r="F300" s="224"/>
      <c r="G300" s="224"/>
      <c r="H300" s="224">
        <v>15.692307</v>
      </c>
      <c r="I300" s="224" t="s">
        <v>594</v>
      </c>
      <c r="J300" s="225" t="s">
        <v>757</v>
      </c>
      <c r="K300" s="224" t="s">
        <v>10</v>
      </c>
      <c r="L300" s="224" t="s">
        <v>614</v>
      </c>
      <c r="M300" s="224" t="s">
        <v>342</v>
      </c>
      <c r="N300" s="225" t="s">
        <v>1562</v>
      </c>
      <c r="O300" s="225" t="s">
        <v>342</v>
      </c>
      <c r="P300" s="226">
        <v>44277</v>
      </c>
      <c r="Q300" s="224" t="s">
        <v>10</v>
      </c>
      <c r="R300" s="224" t="s">
        <v>1218</v>
      </c>
      <c r="S300" s="225"/>
      <c r="T300" s="224" t="s">
        <v>1206</v>
      </c>
      <c r="U300" s="224" t="s">
        <v>1214</v>
      </c>
      <c r="V300" s="224" t="s">
        <v>1218</v>
      </c>
      <c r="W300" s="224"/>
      <c r="X300" s="224" t="s">
        <v>1383</v>
      </c>
      <c r="Y300" s="224" t="s">
        <v>1168</v>
      </c>
      <c r="Z300" s="129" t="s">
        <v>1390</v>
      </c>
      <c r="AA300" s="43" t="s">
        <v>1218</v>
      </c>
      <c r="AB300" s="37" t="s">
        <v>1152</v>
      </c>
      <c r="AC300" s="130"/>
      <c r="AD300" s="129"/>
      <c r="AE300" s="129"/>
      <c r="AF300" s="131" t="s">
        <v>1549</v>
      </c>
      <c r="AG300" s="130"/>
      <c r="AH300" s="130"/>
      <c r="AI300" s="130"/>
      <c r="AJ300" s="43"/>
      <c r="AK300" s="229"/>
    </row>
    <row r="301" spans="1:58" ht="25.5" x14ac:dyDescent="0.2">
      <c r="B301" s="151" t="s">
        <v>1716</v>
      </c>
      <c r="C301" s="151" t="s">
        <v>507</v>
      </c>
      <c r="D301" s="151" t="s">
        <v>1717</v>
      </c>
      <c r="E301" s="151" t="s">
        <v>1719</v>
      </c>
      <c r="I301" s="151" t="s">
        <v>1724</v>
      </c>
      <c r="AF301" s="151" t="s">
        <v>1549</v>
      </c>
      <c r="AX301" s="151" t="s">
        <v>1632</v>
      </c>
      <c r="AY301" s="151" t="s">
        <v>1038</v>
      </c>
      <c r="AZ301" s="151" t="s">
        <v>1638</v>
      </c>
      <c r="BA301" s="151" t="s">
        <v>1651</v>
      </c>
      <c r="BB301" s="151" t="s">
        <v>1639</v>
      </c>
      <c r="BC301" s="129" t="s">
        <v>1640</v>
      </c>
    </row>
    <row r="302" spans="1:58" ht="25.5" x14ac:dyDescent="0.2">
      <c r="B302" s="151" t="s">
        <v>1716</v>
      </c>
      <c r="C302" s="151" t="s">
        <v>507</v>
      </c>
      <c r="D302" s="151" t="s">
        <v>1717</v>
      </c>
      <c r="E302" s="151" t="s">
        <v>1722</v>
      </c>
      <c r="I302" s="151" t="s">
        <v>1724</v>
      </c>
      <c r="AF302" s="151" t="s">
        <v>1549</v>
      </c>
      <c r="AX302" s="151" t="s">
        <v>1632</v>
      </c>
      <c r="AY302" s="151" t="s">
        <v>1038</v>
      </c>
      <c r="AZ302" s="151" t="s">
        <v>1638</v>
      </c>
      <c r="BA302" s="151" t="s">
        <v>162</v>
      </c>
      <c r="BB302" s="151" t="s">
        <v>1639</v>
      </c>
      <c r="BC302" s="129" t="s">
        <v>1150</v>
      </c>
      <c r="BF302" s="130" t="s">
        <v>1720</v>
      </c>
    </row>
    <row r="303" spans="1:58" x14ac:dyDescent="0.2">
      <c r="A303" s="151" t="s">
        <v>1718</v>
      </c>
      <c r="AF303" s="151" t="s">
        <v>1549</v>
      </c>
      <c r="AX303" s="151" t="s">
        <v>1632</v>
      </c>
      <c r="AY303" s="151" t="s">
        <v>1038</v>
      </c>
      <c r="AZ303" s="151" t="s">
        <v>1638</v>
      </c>
      <c r="BA303" s="151" t="s">
        <v>1652</v>
      </c>
      <c r="BB303" s="151" t="s">
        <v>1639</v>
      </c>
      <c r="BC303" s="129" t="s">
        <v>1641</v>
      </c>
    </row>
    <row r="304" spans="1:58" ht="25.5" x14ac:dyDescent="0.2">
      <c r="B304" s="151" t="s">
        <v>1716</v>
      </c>
      <c r="C304" s="151" t="s">
        <v>507</v>
      </c>
      <c r="D304" s="151" t="s">
        <v>1717</v>
      </c>
      <c r="E304" s="151" t="s">
        <v>1653</v>
      </c>
      <c r="I304" s="151" t="s">
        <v>1724</v>
      </c>
      <c r="AF304" s="151" t="s">
        <v>1549</v>
      </c>
      <c r="AX304" s="151" t="s">
        <v>1632</v>
      </c>
      <c r="AY304" s="151" t="s">
        <v>1038</v>
      </c>
      <c r="AZ304" s="151" t="s">
        <v>1638</v>
      </c>
      <c r="BA304" s="151" t="s">
        <v>1653</v>
      </c>
      <c r="BB304" s="151" t="s">
        <v>1639</v>
      </c>
      <c r="BC304" s="129" t="s">
        <v>1642</v>
      </c>
    </row>
    <row r="305" spans="1:55" x14ac:dyDescent="0.2">
      <c r="A305" s="151" t="s">
        <v>1718</v>
      </c>
      <c r="AF305" s="151" t="s">
        <v>1549</v>
      </c>
      <c r="AX305" s="151" t="s">
        <v>1632</v>
      </c>
      <c r="AY305" s="151" t="s">
        <v>1038</v>
      </c>
      <c r="AZ305" s="151" t="s">
        <v>1638</v>
      </c>
      <c r="BA305" s="151" t="s">
        <v>1654</v>
      </c>
      <c r="BB305" s="151" t="s">
        <v>1639</v>
      </c>
      <c r="BC305" s="129" t="s">
        <v>1643</v>
      </c>
    </row>
    <row r="306" spans="1:55" x14ac:dyDescent="0.2">
      <c r="A306" s="151" t="s">
        <v>1718</v>
      </c>
      <c r="AF306" s="151" t="s">
        <v>1549</v>
      </c>
      <c r="AX306" s="151" t="s">
        <v>1632</v>
      </c>
      <c r="AY306" s="151" t="s">
        <v>1038</v>
      </c>
      <c r="AZ306" s="151" t="s">
        <v>1638</v>
      </c>
      <c r="BA306" s="151" t="s">
        <v>1655</v>
      </c>
      <c r="BB306" s="151" t="s">
        <v>1639</v>
      </c>
      <c r="BC306" s="129" t="s">
        <v>1644</v>
      </c>
    </row>
    <row r="307" spans="1:55" ht="25.5" x14ac:dyDescent="0.2">
      <c r="B307" s="151" t="s">
        <v>1716</v>
      </c>
      <c r="C307" s="151" t="s">
        <v>507</v>
      </c>
      <c r="D307" s="151" t="s">
        <v>1717</v>
      </c>
      <c r="E307" s="151" t="s">
        <v>1656</v>
      </c>
      <c r="I307" s="151" t="s">
        <v>1724</v>
      </c>
      <c r="AF307" s="151" t="s">
        <v>1549</v>
      </c>
      <c r="AX307" s="151" t="s">
        <v>1632</v>
      </c>
      <c r="AY307" s="151" t="s">
        <v>1038</v>
      </c>
      <c r="AZ307" s="151" t="s">
        <v>1638</v>
      </c>
      <c r="BA307" s="151" t="s">
        <v>1656</v>
      </c>
      <c r="BB307" s="151" t="s">
        <v>1639</v>
      </c>
      <c r="BC307" s="129" t="s">
        <v>1645</v>
      </c>
    </row>
    <row r="308" spans="1:55" ht="25.5" x14ac:dyDescent="0.2">
      <c r="B308" s="151" t="s">
        <v>1716</v>
      </c>
      <c r="C308" s="151" t="s">
        <v>507</v>
      </c>
      <c r="D308" s="151" t="s">
        <v>1717</v>
      </c>
      <c r="E308" s="151" t="s">
        <v>1721</v>
      </c>
      <c r="I308" s="151" t="s">
        <v>1724</v>
      </c>
      <c r="AF308" s="151" t="s">
        <v>1549</v>
      </c>
      <c r="AX308" s="151" t="s">
        <v>1632</v>
      </c>
      <c r="AY308" s="151" t="s">
        <v>1038</v>
      </c>
      <c r="AZ308" s="151" t="s">
        <v>1638</v>
      </c>
      <c r="BA308" s="151" t="s">
        <v>1657</v>
      </c>
      <c r="BB308" s="151" t="s">
        <v>1639</v>
      </c>
      <c r="BC308" s="129" t="s">
        <v>1646</v>
      </c>
    </row>
    <row r="309" spans="1:55" ht="25.5" x14ac:dyDescent="0.2">
      <c r="B309" s="151" t="s">
        <v>1716</v>
      </c>
      <c r="C309" s="151" t="s">
        <v>507</v>
      </c>
      <c r="D309" s="151" t="s">
        <v>1717</v>
      </c>
      <c r="E309" s="151" t="s">
        <v>1658</v>
      </c>
      <c r="I309" s="151" t="s">
        <v>1724</v>
      </c>
      <c r="AF309" s="151" t="s">
        <v>1549</v>
      </c>
      <c r="AX309" s="151" t="s">
        <v>1632</v>
      </c>
      <c r="AY309" s="151" t="s">
        <v>1038</v>
      </c>
      <c r="AZ309" s="151" t="s">
        <v>1638</v>
      </c>
      <c r="BA309" s="151" t="s">
        <v>1658</v>
      </c>
      <c r="BB309" s="151" t="s">
        <v>1639</v>
      </c>
      <c r="BC309" s="129" t="s">
        <v>1647</v>
      </c>
    </row>
    <row r="310" spans="1:55" ht="25.5" x14ac:dyDescent="0.2">
      <c r="B310" s="151" t="s">
        <v>1716</v>
      </c>
      <c r="C310" s="151" t="s">
        <v>507</v>
      </c>
      <c r="D310" s="151" t="s">
        <v>1717</v>
      </c>
      <c r="E310" s="151" t="s">
        <v>1659</v>
      </c>
      <c r="I310" s="151" t="s">
        <v>1724</v>
      </c>
      <c r="AF310" s="151" t="s">
        <v>1549</v>
      </c>
      <c r="AX310" s="151" t="s">
        <v>1632</v>
      </c>
      <c r="AY310" s="151" t="s">
        <v>1038</v>
      </c>
      <c r="AZ310" s="151" t="s">
        <v>1638</v>
      </c>
      <c r="BA310" s="151" t="s">
        <v>1659</v>
      </c>
      <c r="BB310" s="151" t="s">
        <v>1639</v>
      </c>
      <c r="BC310" s="129" t="s">
        <v>1648</v>
      </c>
    </row>
    <row r="311" spans="1:55" ht="25.5" x14ac:dyDescent="0.2">
      <c r="B311" s="151" t="s">
        <v>1716</v>
      </c>
      <c r="C311" s="151" t="s">
        <v>507</v>
      </c>
      <c r="D311" s="151" t="s">
        <v>1717</v>
      </c>
      <c r="E311" s="151" t="s">
        <v>1660</v>
      </c>
      <c r="I311" s="151" t="s">
        <v>1724</v>
      </c>
      <c r="AF311" s="151" t="s">
        <v>1549</v>
      </c>
      <c r="AX311" s="151" t="s">
        <v>1632</v>
      </c>
      <c r="AY311" s="151" t="s">
        <v>1038</v>
      </c>
      <c r="AZ311" s="151" t="s">
        <v>1638</v>
      </c>
      <c r="BA311" s="151" t="s">
        <v>1660</v>
      </c>
      <c r="BB311" s="151" t="s">
        <v>1639</v>
      </c>
      <c r="BC311" s="129" t="s">
        <v>1649</v>
      </c>
    </row>
    <row r="312" spans="1:55" ht="25.5" x14ac:dyDescent="0.2">
      <c r="B312" s="151" t="s">
        <v>1716</v>
      </c>
      <c r="C312" s="151" t="s">
        <v>507</v>
      </c>
      <c r="D312" s="151" t="s">
        <v>1717</v>
      </c>
      <c r="E312" s="151" t="s">
        <v>1661</v>
      </c>
      <c r="I312" s="151" t="s">
        <v>1724</v>
      </c>
      <c r="AF312" s="151" t="s">
        <v>1549</v>
      </c>
      <c r="AX312" s="151" t="s">
        <v>1632</v>
      </c>
      <c r="AY312" s="151" t="s">
        <v>1038</v>
      </c>
      <c r="AZ312" s="151" t="s">
        <v>1638</v>
      </c>
      <c r="BA312" s="151" t="s">
        <v>1661</v>
      </c>
      <c r="BB312" s="151" t="s">
        <v>1639</v>
      </c>
      <c r="BC312" s="129" t="s">
        <v>1650</v>
      </c>
    </row>
    <row r="313" spans="1:55" x14ac:dyDescent="0.2">
      <c r="B313" s="151" t="s">
        <v>652</v>
      </c>
      <c r="C313" s="151" t="s">
        <v>507</v>
      </c>
      <c r="D313" s="151" t="s">
        <v>1723</v>
      </c>
      <c r="E313" s="151" t="s">
        <v>1699</v>
      </c>
      <c r="I313" s="151" t="s">
        <v>626</v>
      </c>
      <c r="J313" s="151" t="s">
        <v>1723</v>
      </c>
      <c r="K313" s="151" t="s">
        <v>1699</v>
      </c>
      <c r="L313" s="151" t="s">
        <v>332</v>
      </c>
      <c r="AF313" s="151" t="s">
        <v>1549</v>
      </c>
      <c r="AX313" s="151" t="s">
        <v>1632</v>
      </c>
      <c r="AY313" s="151" t="s">
        <v>1168</v>
      </c>
      <c r="AZ313" s="151" t="s">
        <v>1686</v>
      </c>
      <c r="BA313" s="151" t="s">
        <v>1699</v>
      </c>
      <c r="BB313" s="151" t="s">
        <v>1642</v>
      </c>
      <c r="BC313" s="174" t="s">
        <v>1640</v>
      </c>
    </row>
    <row r="314" spans="1:55" x14ac:dyDescent="0.2">
      <c r="B314" s="151" t="s">
        <v>652</v>
      </c>
      <c r="C314" s="151" t="s">
        <v>507</v>
      </c>
      <c r="D314" s="151" t="s">
        <v>1723</v>
      </c>
      <c r="E314" s="151" t="s">
        <v>1700</v>
      </c>
      <c r="I314" s="151" t="s">
        <v>626</v>
      </c>
      <c r="J314" s="151" t="s">
        <v>1723</v>
      </c>
      <c r="K314" s="151" t="s">
        <v>1700</v>
      </c>
      <c r="L314" s="151" t="s">
        <v>332</v>
      </c>
      <c r="AF314" s="151" t="s">
        <v>1549</v>
      </c>
      <c r="AX314" s="151" t="s">
        <v>1632</v>
      </c>
      <c r="AY314" s="151" t="s">
        <v>1168</v>
      </c>
      <c r="AZ314" s="151" t="s">
        <v>1686</v>
      </c>
      <c r="BA314" s="151" t="s">
        <v>1700</v>
      </c>
      <c r="BB314" s="151" t="s">
        <v>1642</v>
      </c>
      <c r="BC314" s="174" t="s">
        <v>1687</v>
      </c>
    </row>
    <row r="315" spans="1:55" x14ac:dyDescent="0.2">
      <c r="B315" s="151" t="s">
        <v>652</v>
      </c>
      <c r="C315" s="151" t="s">
        <v>507</v>
      </c>
      <c r="D315" s="151" t="s">
        <v>1723</v>
      </c>
      <c r="E315" s="151" t="s">
        <v>1701</v>
      </c>
      <c r="I315" s="151" t="s">
        <v>626</v>
      </c>
      <c r="J315" s="151" t="s">
        <v>1723</v>
      </c>
      <c r="K315" s="151" t="s">
        <v>1701</v>
      </c>
      <c r="L315" s="151" t="s">
        <v>332</v>
      </c>
      <c r="AF315" s="151" t="s">
        <v>1549</v>
      </c>
      <c r="AX315" s="151" t="s">
        <v>1632</v>
      </c>
      <c r="AY315" s="151" t="s">
        <v>1168</v>
      </c>
      <c r="AZ315" s="151" t="s">
        <v>1686</v>
      </c>
      <c r="BA315" s="151" t="s">
        <v>1701</v>
      </c>
      <c r="BB315" s="151" t="s">
        <v>1642</v>
      </c>
      <c r="BC315" s="151" t="s">
        <v>1688</v>
      </c>
    </row>
    <row r="316" spans="1:55" x14ac:dyDescent="0.2">
      <c r="B316" s="151" t="s">
        <v>652</v>
      </c>
      <c r="C316" s="151" t="s">
        <v>507</v>
      </c>
      <c r="D316" s="151" t="s">
        <v>1723</v>
      </c>
      <c r="E316" s="151" t="s">
        <v>1702</v>
      </c>
      <c r="I316" s="151" t="s">
        <v>626</v>
      </c>
      <c r="J316" s="151" t="s">
        <v>1723</v>
      </c>
      <c r="K316" s="151" t="s">
        <v>1702</v>
      </c>
      <c r="L316" s="151" t="s">
        <v>332</v>
      </c>
      <c r="AF316" s="151" t="s">
        <v>1549</v>
      </c>
      <c r="AX316" s="151" t="s">
        <v>1632</v>
      </c>
      <c r="AY316" s="151" t="s">
        <v>1168</v>
      </c>
      <c r="AZ316" s="151" t="s">
        <v>1686</v>
      </c>
      <c r="BA316" s="151" t="s">
        <v>1702</v>
      </c>
      <c r="BB316" s="151" t="s">
        <v>1642</v>
      </c>
      <c r="BC316" s="151" t="s">
        <v>1689</v>
      </c>
    </row>
    <row r="317" spans="1:55" x14ac:dyDescent="0.2">
      <c r="B317" s="151" t="s">
        <v>652</v>
      </c>
      <c r="C317" s="151" t="s">
        <v>507</v>
      </c>
      <c r="D317" s="151" t="s">
        <v>1723</v>
      </c>
      <c r="E317" s="151" t="s">
        <v>789</v>
      </c>
      <c r="I317" s="151" t="s">
        <v>626</v>
      </c>
      <c r="J317" s="151" t="s">
        <v>1723</v>
      </c>
      <c r="K317" s="151" t="s">
        <v>789</v>
      </c>
      <c r="L317" s="151" t="s">
        <v>332</v>
      </c>
      <c r="AF317" s="151" t="s">
        <v>1549</v>
      </c>
      <c r="AX317" s="151" t="s">
        <v>1632</v>
      </c>
      <c r="AY317" s="151" t="s">
        <v>1168</v>
      </c>
      <c r="AZ317" s="151" t="s">
        <v>1686</v>
      </c>
      <c r="BA317" s="151" t="s">
        <v>789</v>
      </c>
      <c r="BB317" s="151" t="s">
        <v>1642</v>
      </c>
      <c r="BC317" s="151" t="s">
        <v>668</v>
      </c>
    </row>
    <row r="318" spans="1:55" x14ac:dyDescent="0.2">
      <c r="B318" s="151" t="s">
        <v>652</v>
      </c>
      <c r="C318" s="151" t="s">
        <v>507</v>
      </c>
      <c r="D318" s="151" t="s">
        <v>1723</v>
      </c>
      <c r="E318" s="151" t="s">
        <v>564</v>
      </c>
      <c r="I318" s="151" t="s">
        <v>626</v>
      </c>
      <c r="J318" s="151" t="s">
        <v>1723</v>
      </c>
      <c r="K318" s="151" t="s">
        <v>564</v>
      </c>
      <c r="L318" s="151" t="s">
        <v>332</v>
      </c>
      <c r="AF318" s="151" t="s">
        <v>1549</v>
      </c>
      <c r="AX318" s="151" t="s">
        <v>1632</v>
      </c>
      <c r="AY318" s="151" t="s">
        <v>1168</v>
      </c>
      <c r="AZ318" s="151" t="s">
        <v>1686</v>
      </c>
      <c r="BA318" s="151" t="s">
        <v>564</v>
      </c>
      <c r="BB318" s="151" t="s">
        <v>1642</v>
      </c>
      <c r="BC318" s="151" t="s">
        <v>565</v>
      </c>
    </row>
    <row r="319" spans="1:55" x14ac:dyDescent="0.2">
      <c r="B319" s="151" t="s">
        <v>652</v>
      </c>
      <c r="C319" s="151" t="s">
        <v>507</v>
      </c>
      <c r="D319" s="151" t="s">
        <v>1723</v>
      </c>
      <c r="E319" s="151" t="s">
        <v>1703</v>
      </c>
      <c r="I319" s="151" t="s">
        <v>626</v>
      </c>
      <c r="J319" s="151" t="s">
        <v>1723</v>
      </c>
      <c r="K319" s="151" t="s">
        <v>1703</v>
      </c>
      <c r="L319" s="151" t="s">
        <v>332</v>
      </c>
      <c r="AF319" s="151" t="s">
        <v>1549</v>
      </c>
      <c r="AX319" s="151" t="s">
        <v>1632</v>
      </c>
      <c r="AY319" s="151" t="s">
        <v>1168</v>
      </c>
      <c r="AZ319" s="151" t="s">
        <v>1686</v>
      </c>
      <c r="BA319" s="151" t="s">
        <v>1703</v>
      </c>
      <c r="BB319" s="151" t="s">
        <v>1642</v>
      </c>
      <c r="BC319" s="151" t="s">
        <v>1690</v>
      </c>
    </row>
    <row r="320" spans="1:55" x14ac:dyDescent="0.2">
      <c r="B320" s="151" t="s">
        <v>652</v>
      </c>
      <c r="C320" s="151" t="s">
        <v>507</v>
      </c>
      <c r="D320" s="151" t="s">
        <v>1723</v>
      </c>
      <c r="E320" s="151" t="s">
        <v>1704</v>
      </c>
      <c r="I320" s="151" t="s">
        <v>626</v>
      </c>
      <c r="J320" s="151" t="s">
        <v>1723</v>
      </c>
      <c r="K320" s="151" t="s">
        <v>1704</v>
      </c>
      <c r="L320" s="151" t="s">
        <v>332</v>
      </c>
      <c r="AF320" s="151" t="s">
        <v>1549</v>
      </c>
      <c r="AX320" s="151" t="s">
        <v>1632</v>
      </c>
      <c r="AY320" s="151" t="s">
        <v>1168</v>
      </c>
      <c r="AZ320" s="151" t="s">
        <v>1686</v>
      </c>
      <c r="BA320" s="151" t="s">
        <v>1704</v>
      </c>
      <c r="BB320" s="151" t="s">
        <v>1642</v>
      </c>
      <c r="BC320" s="151" t="s">
        <v>1691</v>
      </c>
    </row>
    <row r="321" spans="2:55" x14ac:dyDescent="0.2">
      <c r="B321" s="151" t="s">
        <v>652</v>
      </c>
      <c r="C321" s="151" t="s">
        <v>507</v>
      </c>
      <c r="D321" s="151" t="s">
        <v>1723</v>
      </c>
      <c r="E321" s="151" t="s">
        <v>69</v>
      </c>
      <c r="I321" s="151" t="s">
        <v>626</v>
      </c>
      <c r="J321" s="151" t="s">
        <v>1723</v>
      </c>
      <c r="K321" s="151" t="s">
        <v>69</v>
      </c>
      <c r="L321" s="151" t="s">
        <v>332</v>
      </c>
      <c r="AF321" s="151" t="s">
        <v>1549</v>
      </c>
      <c r="AX321" s="151" t="s">
        <v>1632</v>
      </c>
      <c r="AY321" s="151" t="s">
        <v>1168</v>
      </c>
      <c r="AZ321" s="151" t="s">
        <v>1686</v>
      </c>
      <c r="BA321" s="151" t="s">
        <v>69</v>
      </c>
      <c r="BB321" s="151" t="s">
        <v>1642</v>
      </c>
      <c r="BC321" s="151" t="s">
        <v>1500</v>
      </c>
    </row>
    <row r="322" spans="2:55" x14ac:dyDescent="0.2">
      <c r="B322" s="151" t="s">
        <v>652</v>
      </c>
      <c r="C322" s="151" t="s">
        <v>507</v>
      </c>
      <c r="D322" s="151" t="s">
        <v>1723</v>
      </c>
      <c r="E322" s="151" t="s">
        <v>1705</v>
      </c>
      <c r="I322" s="151" t="s">
        <v>626</v>
      </c>
      <c r="J322" s="151" t="s">
        <v>1723</v>
      </c>
      <c r="K322" s="151" t="s">
        <v>1705</v>
      </c>
      <c r="L322" s="151" t="s">
        <v>332</v>
      </c>
      <c r="AF322" s="151" t="s">
        <v>1549</v>
      </c>
      <c r="AX322" s="151" t="s">
        <v>1632</v>
      </c>
      <c r="AY322" s="151" t="s">
        <v>1168</v>
      </c>
      <c r="AZ322" s="151" t="s">
        <v>1686</v>
      </c>
      <c r="BA322" s="151" t="s">
        <v>1705</v>
      </c>
      <c r="BB322" s="151" t="s">
        <v>1642</v>
      </c>
      <c r="BC322" s="151" t="s">
        <v>1692</v>
      </c>
    </row>
    <row r="323" spans="2:55" x14ac:dyDescent="0.2">
      <c r="B323" s="151" t="s">
        <v>652</v>
      </c>
      <c r="C323" s="151" t="s">
        <v>507</v>
      </c>
      <c r="D323" s="151" t="s">
        <v>1723</v>
      </c>
      <c r="E323" s="151" t="s">
        <v>1706</v>
      </c>
      <c r="I323" s="151" t="s">
        <v>626</v>
      </c>
      <c r="J323" s="151" t="s">
        <v>1723</v>
      </c>
      <c r="K323" s="151" t="s">
        <v>1706</v>
      </c>
      <c r="L323" s="151" t="s">
        <v>332</v>
      </c>
      <c r="AF323" s="151" t="s">
        <v>1549</v>
      </c>
      <c r="AX323" s="151" t="s">
        <v>1632</v>
      </c>
      <c r="AY323" s="151" t="s">
        <v>1168</v>
      </c>
      <c r="AZ323" s="151" t="s">
        <v>1686</v>
      </c>
      <c r="BA323" s="151" t="s">
        <v>1706</v>
      </c>
      <c r="BB323" s="151" t="s">
        <v>1642</v>
      </c>
      <c r="BC323" s="151" t="s">
        <v>1693</v>
      </c>
    </row>
    <row r="324" spans="2:55" x14ac:dyDescent="0.2">
      <c r="B324" s="151" t="s">
        <v>652</v>
      </c>
      <c r="C324" s="151" t="s">
        <v>507</v>
      </c>
      <c r="D324" s="151" t="s">
        <v>1723</v>
      </c>
      <c r="E324" s="151" t="s">
        <v>1707</v>
      </c>
      <c r="I324" s="151" t="s">
        <v>626</v>
      </c>
      <c r="J324" s="151" t="s">
        <v>1723</v>
      </c>
      <c r="K324" s="151" t="s">
        <v>1707</v>
      </c>
      <c r="L324" s="151" t="s">
        <v>332</v>
      </c>
      <c r="AF324" s="151" t="s">
        <v>1549</v>
      </c>
      <c r="AX324" s="151" t="s">
        <v>1632</v>
      </c>
      <c r="AY324" s="151" t="s">
        <v>1168</v>
      </c>
      <c r="AZ324" s="151" t="s">
        <v>1686</v>
      </c>
      <c r="BA324" s="151" t="s">
        <v>1707</v>
      </c>
      <c r="BB324" s="151" t="s">
        <v>1642</v>
      </c>
      <c r="BC324" s="151" t="s">
        <v>1694</v>
      </c>
    </row>
    <row r="325" spans="2:55" x14ac:dyDescent="0.2">
      <c r="B325" s="151" t="s">
        <v>652</v>
      </c>
      <c r="C325" s="151" t="s">
        <v>507</v>
      </c>
      <c r="D325" s="151" t="s">
        <v>1723</v>
      </c>
      <c r="E325" s="151" t="s">
        <v>1708</v>
      </c>
      <c r="I325" s="151" t="s">
        <v>626</v>
      </c>
      <c r="J325" s="151" t="s">
        <v>1723</v>
      </c>
      <c r="K325" s="151" t="s">
        <v>1708</v>
      </c>
      <c r="L325" s="151" t="s">
        <v>332</v>
      </c>
      <c r="AF325" s="151" t="s">
        <v>1549</v>
      </c>
      <c r="AX325" s="151" t="s">
        <v>1632</v>
      </c>
      <c r="AY325" s="151" t="s">
        <v>1168</v>
      </c>
      <c r="AZ325" s="151" t="s">
        <v>1686</v>
      </c>
      <c r="BA325" s="151" t="s">
        <v>1708</v>
      </c>
      <c r="BB325" s="151" t="s">
        <v>1642</v>
      </c>
      <c r="BC325" s="151" t="s">
        <v>1315</v>
      </c>
    </row>
    <row r="326" spans="2:55" x14ac:dyDescent="0.2">
      <c r="B326" s="151" t="s">
        <v>652</v>
      </c>
      <c r="C326" s="151" t="s">
        <v>507</v>
      </c>
      <c r="D326" s="151" t="s">
        <v>1723</v>
      </c>
      <c r="E326" s="151" t="s">
        <v>1709</v>
      </c>
      <c r="I326" s="151" t="s">
        <v>626</v>
      </c>
      <c r="J326" s="151" t="s">
        <v>1723</v>
      </c>
      <c r="K326" s="151" t="s">
        <v>1709</v>
      </c>
      <c r="L326" s="151" t="s">
        <v>332</v>
      </c>
      <c r="AF326" s="151" t="s">
        <v>1549</v>
      </c>
      <c r="AX326" s="151" t="s">
        <v>1632</v>
      </c>
      <c r="AY326" s="151" t="s">
        <v>1168</v>
      </c>
      <c r="AZ326" s="151" t="s">
        <v>1686</v>
      </c>
      <c r="BA326" s="151" t="s">
        <v>1709</v>
      </c>
      <c r="BB326" s="151" t="s">
        <v>1642</v>
      </c>
      <c r="BC326" s="151" t="s">
        <v>1695</v>
      </c>
    </row>
    <row r="327" spans="2:55" x14ac:dyDescent="0.2">
      <c r="B327" s="151" t="s">
        <v>652</v>
      </c>
      <c r="C327" s="151" t="s">
        <v>507</v>
      </c>
      <c r="D327" s="151" t="s">
        <v>1723</v>
      </c>
      <c r="E327" s="151" t="s">
        <v>1710</v>
      </c>
      <c r="I327" s="151" t="s">
        <v>626</v>
      </c>
      <c r="J327" s="151" t="s">
        <v>1723</v>
      </c>
      <c r="K327" s="151" t="s">
        <v>1710</v>
      </c>
      <c r="L327" s="151" t="s">
        <v>332</v>
      </c>
      <c r="AF327" s="151" t="s">
        <v>1549</v>
      </c>
      <c r="AX327" s="151" t="s">
        <v>1632</v>
      </c>
      <c r="AY327" s="151" t="s">
        <v>1168</v>
      </c>
      <c r="AZ327" s="151" t="s">
        <v>1686</v>
      </c>
      <c r="BA327" s="151" t="s">
        <v>1710</v>
      </c>
      <c r="BB327" s="151" t="s">
        <v>1642</v>
      </c>
      <c r="BC327" s="151" t="s">
        <v>1696</v>
      </c>
    </row>
    <row r="328" spans="2:55" x14ac:dyDescent="0.2">
      <c r="B328" s="151" t="s">
        <v>652</v>
      </c>
      <c r="C328" s="151" t="s">
        <v>507</v>
      </c>
      <c r="D328" s="151" t="s">
        <v>1723</v>
      </c>
      <c r="E328" s="151" t="s">
        <v>1711</v>
      </c>
      <c r="I328" s="151" t="s">
        <v>626</v>
      </c>
      <c r="J328" s="151" t="s">
        <v>1723</v>
      </c>
      <c r="K328" s="151" t="s">
        <v>1711</v>
      </c>
      <c r="L328" s="151" t="s">
        <v>332</v>
      </c>
      <c r="AF328" s="151" t="s">
        <v>1549</v>
      </c>
      <c r="AX328" s="151" t="s">
        <v>1632</v>
      </c>
      <c r="AY328" s="151" t="s">
        <v>1168</v>
      </c>
      <c r="AZ328" s="151" t="s">
        <v>1686</v>
      </c>
      <c r="BA328" s="151" t="s">
        <v>1711</v>
      </c>
      <c r="BB328" s="151" t="s">
        <v>1642</v>
      </c>
      <c r="BC328" s="151" t="s">
        <v>1697</v>
      </c>
    </row>
    <row r="329" spans="2:55" x14ac:dyDescent="0.2">
      <c r="B329" s="151" t="s">
        <v>652</v>
      </c>
      <c r="C329" s="151" t="s">
        <v>507</v>
      </c>
      <c r="D329" s="151" t="s">
        <v>1723</v>
      </c>
      <c r="E329" s="151" t="s">
        <v>1712</v>
      </c>
      <c r="I329" s="151" t="s">
        <v>626</v>
      </c>
      <c r="J329" s="151" t="s">
        <v>1723</v>
      </c>
      <c r="K329" s="151" t="s">
        <v>1712</v>
      </c>
      <c r="L329" s="151" t="s">
        <v>332</v>
      </c>
      <c r="AF329" s="151" t="s">
        <v>1549</v>
      </c>
      <c r="AX329" s="151" t="s">
        <v>1632</v>
      </c>
      <c r="AY329" s="151" t="s">
        <v>1168</v>
      </c>
      <c r="AZ329" s="151" t="s">
        <v>1686</v>
      </c>
      <c r="BA329" s="151" t="s">
        <v>1712</v>
      </c>
      <c r="BB329" s="151" t="s">
        <v>1642</v>
      </c>
      <c r="BC329" s="151" t="s">
        <v>678</v>
      </c>
    </row>
    <row r="330" spans="2:55" x14ac:dyDescent="0.2">
      <c r="B330" s="151" t="s">
        <v>652</v>
      </c>
      <c r="C330" s="151" t="s">
        <v>507</v>
      </c>
      <c r="D330" s="151" t="s">
        <v>1723</v>
      </c>
      <c r="E330" s="151" t="s">
        <v>1713</v>
      </c>
      <c r="I330" s="151" t="s">
        <v>626</v>
      </c>
      <c r="J330" s="151" t="s">
        <v>1723</v>
      </c>
      <c r="K330" s="151" t="s">
        <v>1713</v>
      </c>
      <c r="L330" s="151" t="s">
        <v>332</v>
      </c>
      <c r="AF330" s="151" t="s">
        <v>1549</v>
      </c>
      <c r="AX330" s="151" t="s">
        <v>1632</v>
      </c>
      <c r="AY330" s="151" t="s">
        <v>1168</v>
      </c>
      <c r="AZ330" s="151" t="s">
        <v>1686</v>
      </c>
      <c r="BA330" s="151" t="s">
        <v>1713</v>
      </c>
      <c r="BB330" s="151" t="s">
        <v>1642</v>
      </c>
      <c r="BC330" s="151" t="s">
        <v>679</v>
      </c>
    </row>
    <row r="331" spans="2:55" x14ac:dyDescent="0.2">
      <c r="B331" s="151" t="s">
        <v>652</v>
      </c>
      <c r="C331" s="151" t="s">
        <v>507</v>
      </c>
      <c r="D331" s="151" t="s">
        <v>1723</v>
      </c>
      <c r="E331" s="151" t="s">
        <v>1714</v>
      </c>
      <c r="I331" s="151" t="s">
        <v>626</v>
      </c>
      <c r="J331" s="151" t="s">
        <v>1723</v>
      </c>
      <c r="K331" s="151" t="s">
        <v>1714</v>
      </c>
      <c r="L331" s="151" t="s">
        <v>332</v>
      </c>
      <c r="AF331" s="151" t="s">
        <v>1549</v>
      </c>
      <c r="AX331" s="151" t="s">
        <v>1632</v>
      </c>
      <c r="AY331" s="151" t="s">
        <v>1168</v>
      </c>
      <c r="AZ331" s="151" t="s">
        <v>1686</v>
      </c>
      <c r="BA331" s="151" t="s">
        <v>1714</v>
      </c>
      <c r="BB331" s="151" t="s">
        <v>1642</v>
      </c>
      <c r="BC331" s="151" t="s">
        <v>1698</v>
      </c>
    </row>
    <row r="332" spans="2:55" ht="25.5" x14ac:dyDescent="0.2">
      <c r="AD332" s="213" t="s">
        <v>1313</v>
      </c>
      <c r="AE332" s="151" t="s">
        <v>1725</v>
      </c>
      <c r="AF332" s="213" t="s">
        <v>1479</v>
      </c>
      <c r="AH332" s="151" t="s">
        <v>1726</v>
      </c>
    </row>
    <row r="333" spans="2:55" ht="25.5" x14ac:dyDescent="0.2">
      <c r="AD333" s="213" t="s">
        <v>1313</v>
      </c>
      <c r="AE333" s="151" t="s">
        <v>1727</v>
      </c>
      <c r="AF333" s="213" t="s">
        <v>1479</v>
      </c>
      <c r="AH333" s="151" t="s">
        <v>1728</v>
      </c>
    </row>
    <row r="334" spans="2:55" x14ac:dyDescent="0.2">
      <c r="AD334" s="213" t="s">
        <v>1313</v>
      </c>
      <c r="AE334" s="151" t="s">
        <v>1729</v>
      </c>
      <c r="AF334" s="213" t="s">
        <v>1479</v>
      </c>
      <c r="AH334" s="151" t="s">
        <v>1730</v>
      </c>
    </row>
    <row r="335" spans="2:55" x14ac:dyDescent="0.2">
      <c r="AD335" s="213" t="s">
        <v>1313</v>
      </c>
      <c r="AE335" s="151" t="s">
        <v>1731</v>
      </c>
      <c r="AF335" s="213" t="s">
        <v>1479</v>
      </c>
      <c r="AH335" s="151" t="s">
        <v>1733</v>
      </c>
    </row>
    <row r="336" spans="2:55" x14ac:dyDescent="0.2">
      <c r="AD336" s="213" t="s">
        <v>1313</v>
      </c>
      <c r="AE336" s="151" t="s">
        <v>1732</v>
      </c>
      <c r="AF336" s="213" t="s">
        <v>1479</v>
      </c>
      <c r="AH336" s="151" t="s">
        <v>1734</v>
      </c>
    </row>
    <row r="337" spans="30:35" x14ac:dyDescent="0.2">
      <c r="AD337" s="151" t="s">
        <v>1148</v>
      </c>
      <c r="AE337" s="151" t="s">
        <v>1735</v>
      </c>
      <c r="AF337" s="151" t="s">
        <v>1479</v>
      </c>
      <c r="AI337" s="151" t="s">
        <v>1736</v>
      </c>
    </row>
  </sheetData>
  <sheetProtection autoFilter="0"/>
  <autoFilter ref="A3:BF331" xr:uid="{2F727041-A49D-41B4-8A72-18D91E2821B5}"/>
  <mergeCells count="5">
    <mergeCell ref="X1:AC1"/>
    <mergeCell ref="AO1:AV1"/>
    <mergeCell ref="AX1:BE1"/>
    <mergeCell ref="Q2:S2"/>
    <mergeCell ref="T2:W2"/>
  </mergeCells>
  <conditionalFormatting sqref="E42:F42">
    <cfRule type="duplicateValues" dxfId="19" priority="1"/>
  </conditionalFormatting>
  <conditionalFormatting sqref="E79:F79">
    <cfRule type="duplicateValues" dxfId="18" priority="2"/>
    <cfRule type="duplicateValues" dxfId="17" priority="3"/>
  </conditionalFormatting>
  <conditionalFormatting sqref="E81:F81 E77:E78 E80">
    <cfRule type="duplicateValues" dxfId="16" priority="5"/>
  </conditionalFormatting>
  <conditionalFormatting sqref="E81:F81 E80">
    <cfRule type="duplicateValues" dxfId="15" priority="6"/>
  </conditionalFormatting>
  <conditionalFormatting sqref="E89:F91">
    <cfRule type="duplicateValues" dxfId="14" priority="4"/>
    <cfRule type="duplicateValues" dxfId="13" priority="8"/>
  </conditionalFormatting>
  <conditionalFormatting sqref="E144:F145">
    <cfRule type="duplicateValues" dxfId="12" priority="7"/>
  </conditionalFormatting>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1BF89-D2BC-417C-899B-B69F86C17E0B}">
  <dimension ref="A1:C2"/>
  <sheetViews>
    <sheetView workbookViewId="0">
      <selection activeCell="A2" sqref="A2"/>
    </sheetView>
  </sheetViews>
  <sheetFormatPr defaultRowHeight="15" x14ac:dyDescent="0.25"/>
  <cols>
    <col min="1" max="1" width="10.42578125" bestFit="1" customWidth="1"/>
  </cols>
  <sheetData>
    <row r="1" spans="1:3" x14ac:dyDescent="0.25">
      <c r="A1" s="167" t="s">
        <v>1150</v>
      </c>
      <c r="B1" s="167" t="s">
        <v>1576</v>
      </c>
      <c r="C1" s="167" t="s">
        <v>784</v>
      </c>
    </row>
    <row r="2" spans="1:3" x14ac:dyDescent="0.25">
      <c r="A2" s="121">
        <v>44882</v>
      </c>
      <c r="B2" t="s">
        <v>1577</v>
      </c>
      <c r="C2" t="s">
        <v>1578</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A14B6-9141-4E15-AB76-1C022B087526}">
  <dimension ref="A1:B1323"/>
  <sheetViews>
    <sheetView topLeftCell="A52" workbookViewId="0">
      <selection activeCell="G21" sqref="G21"/>
    </sheetView>
  </sheetViews>
  <sheetFormatPr defaultColWidth="8.42578125" defaultRowHeight="12.75" x14ac:dyDescent="0.2"/>
  <cols>
    <col min="1" max="1" width="24.42578125" style="37" customWidth="1"/>
    <col min="2" max="2" width="29.42578125" style="37" customWidth="1"/>
    <col min="3" max="16384" width="8.42578125" style="37"/>
  </cols>
  <sheetData>
    <row r="1" spans="1:2" ht="36" customHeight="1" x14ac:dyDescent="0.2">
      <c r="A1" s="38" t="s">
        <v>1417</v>
      </c>
      <c r="B1" s="38" t="s">
        <v>1418</v>
      </c>
    </row>
    <row r="2" spans="1:2" s="43" customFormat="1" x14ac:dyDescent="0.25">
      <c r="A2" s="44" t="s">
        <v>601</v>
      </c>
      <c r="B2" s="73" t="s">
        <v>331</v>
      </c>
    </row>
    <row r="3" spans="1:2" s="43" customFormat="1" x14ac:dyDescent="0.25">
      <c r="A3" s="44" t="s">
        <v>601</v>
      </c>
      <c r="B3" s="73" t="s">
        <v>331</v>
      </c>
    </row>
    <row r="4" spans="1:2" s="43" customFormat="1" x14ac:dyDescent="0.25">
      <c r="A4" s="44" t="s">
        <v>601</v>
      </c>
      <c r="B4" s="73" t="s">
        <v>331</v>
      </c>
    </row>
    <row r="5" spans="1:2" s="43" customFormat="1" x14ac:dyDescent="0.25">
      <c r="A5" s="44" t="s">
        <v>601</v>
      </c>
      <c r="B5" s="73" t="s">
        <v>331</v>
      </c>
    </row>
    <row r="6" spans="1:2" s="43" customFormat="1" x14ac:dyDescent="0.25">
      <c r="A6" s="44" t="s">
        <v>601</v>
      </c>
      <c r="B6" s="73" t="s">
        <v>331</v>
      </c>
    </row>
    <row r="7" spans="1:2" s="43" customFormat="1" x14ac:dyDescent="0.25">
      <c r="A7" s="44" t="s">
        <v>601</v>
      </c>
      <c r="B7" s="73" t="s">
        <v>331</v>
      </c>
    </row>
    <row r="8" spans="1:2" s="43" customFormat="1" x14ac:dyDescent="0.25">
      <c r="A8" s="44" t="s">
        <v>601</v>
      </c>
      <c r="B8" s="73" t="s">
        <v>331</v>
      </c>
    </row>
    <row r="9" spans="1:2" s="43" customFormat="1" x14ac:dyDescent="0.25">
      <c r="A9" s="44" t="s">
        <v>601</v>
      </c>
      <c r="B9" s="73" t="s">
        <v>331</v>
      </c>
    </row>
    <row r="10" spans="1:2" s="43" customFormat="1" x14ac:dyDescent="0.25">
      <c r="A10" s="44" t="s">
        <v>601</v>
      </c>
      <c r="B10" s="73" t="s">
        <v>331</v>
      </c>
    </row>
    <row r="11" spans="1:2" s="43" customFormat="1" x14ac:dyDescent="0.25">
      <c r="A11" s="44" t="s">
        <v>601</v>
      </c>
      <c r="B11" s="73" t="s">
        <v>331</v>
      </c>
    </row>
    <row r="12" spans="1:2" s="43" customFormat="1" x14ac:dyDescent="0.25">
      <c r="A12" s="44" t="s">
        <v>601</v>
      </c>
      <c r="B12" s="73" t="s">
        <v>331</v>
      </c>
    </row>
    <row r="13" spans="1:2" s="43" customFormat="1" x14ac:dyDescent="0.25">
      <c r="A13" s="44" t="s">
        <v>601</v>
      </c>
      <c r="B13" s="73" t="s">
        <v>331</v>
      </c>
    </row>
    <row r="14" spans="1:2" s="43" customFormat="1" x14ac:dyDescent="0.25">
      <c r="A14" s="44" t="s">
        <v>601</v>
      </c>
      <c r="B14" s="73" t="s">
        <v>331</v>
      </c>
    </row>
    <row r="15" spans="1:2" s="43" customFormat="1" x14ac:dyDescent="0.25">
      <c r="A15" s="44" t="s">
        <v>601</v>
      </c>
      <c r="B15" s="73" t="s">
        <v>331</v>
      </c>
    </row>
    <row r="16" spans="1:2" s="43" customFormat="1" x14ac:dyDescent="0.25">
      <c r="A16" s="44" t="s">
        <v>652</v>
      </c>
      <c r="B16" s="73" t="s">
        <v>754</v>
      </c>
    </row>
    <row r="17" spans="1:2" s="43" customFormat="1" x14ac:dyDescent="0.25">
      <c r="A17" s="44" t="s">
        <v>652</v>
      </c>
      <c r="B17" s="73" t="s">
        <v>754</v>
      </c>
    </row>
    <row r="18" spans="1:2" s="43" customFormat="1" x14ac:dyDescent="0.25">
      <c r="A18" s="44" t="s">
        <v>652</v>
      </c>
      <c r="B18" s="73" t="s">
        <v>754</v>
      </c>
    </row>
    <row r="19" spans="1:2" s="43" customFormat="1" x14ac:dyDescent="0.25">
      <c r="A19" s="44" t="s">
        <v>652</v>
      </c>
      <c r="B19" s="73" t="s">
        <v>754</v>
      </c>
    </row>
    <row r="20" spans="1:2" s="43" customFormat="1" x14ac:dyDescent="0.25">
      <c r="A20" s="44" t="s">
        <v>652</v>
      </c>
      <c r="B20" s="73" t="s">
        <v>754</v>
      </c>
    </row>
    <row r="21" spans="1:2" s="43" customFormat="1" x14ac:dyDescent="0.25">
      <c r="A21" s="44" t="s">
        <v>652</v>
      </c>
      <c r="B21" s="73" t="s">
        <v>754</v>
      </c>
    </row>
    <row r="22" spans="1:2" s="43" customFormat="1" x14ac:dyDescent="0.25">
      <c r="A22" s="44" t="s">
        <v>652</v>
      </c>
      <c r="B22" s="73" t="s">
        <v>754</v>
      </c>
    </row>
    <row r="23" spans="1:2" s="43" customFormat="1" x14ac:dyDescent="0.25">
      <c r="A23" s="44" t="s">
        <v>652</v>
      </c>
      <c r="B23" s="73" t="s">
        <v>909</v>
      </c>
    </row>
    <row r="24" spans="1:2" s="43" customFormat="1" x14ac:dyDescent="0.25">
      <c r="A24" s="44" t="s">
        <v>652</v>
      </c>
      <c r="B24" s="73" t="s">
        <v>909</v>
      </c>
    </row>
    <row r="25" spans="1:2" s="43" customFormat="1" ht="12.75" customHeight="1" x14ac:dyDescent="0.25">
      <c r="A25" s="44" t="s">
        <v>652</v>
      </c>
      <c r="B25" s="73" t="s">
        <v>909</v>
      </c>
    </row>
    <row r="26" spans="1:2" s="43" customFormat="1" ht="25.5" customHeight="1" x14ac:dyDescent="0.25">
      <c r="A26" s="44" t="s">
        <v>652</v>
      </c>
      <c r="B26" s="73" t="s">
        <v>909</v>
      </c>
    </row>
    <row r="27" spans="1:2" s="43" customFormat="1" ht="38.25" customHeight="1" x14ac:dyDescent="0.25">
      <c r="A27" s="44" t="s">
        <v>652</v>
      </c>
      <c r="B27" s="73" t="s">
        <v>909</v>
      </c>
    </row>
    <row r="28" spans="1:2" s="43" customFormat="1" x14ac:dyDescent="0.25">
      <c r="A28" s="44" t="s">
        <v>652</v>
      </c>
      <c r="B28" s="73" t="s">
        <v>909</v>
      </c>
    </row>
    <row r="29" spans="1:2" s="43" customFormat="1" x14ac:dyDescent="0.25">
      <c r="A29" s="44" t="s">
        <v>652</v>
      </c>
      <c r="B29" s="73" t="s">
        <v>909</v>
      </c>
    </row>
    <row r="30" spans="1:2" s="43" customFormat="1" x14ac:dyDescent="0.25">
      <c r="A30" s="44" t="s">
        <v>652</v>
      </c>
      <c r="B30" s="73" t="s">
        <v>909</v>
      </c>
    </row>
    <row r="31" spans="1:2" s="43" customFormat="1" x14ac:dyDescent="0.25">
      <c r="A31" s="44" t="s">
        <v>652</v>
      </c>
      <c r="B31" s="73" t="s">
        <v>909</v>
      </c>
    </row>
    <row r="32" spans="1:2" s="43" customFormat="1" x14ac:dyDescent="0.25">
      <c r="A32" s="44" t="s">
        <v>652</v>
      </c>
      <c r="B32" s="73" t="s">
        <v>909</v>
      </c>
    </row>
    <row r="33" spans="1:2" s="43" customFormat="1" x14ac:dyDescent="0.25">
      <c r="A33" s="44" t="s">
        <v>652</v>
      </c>
      <c r="B33" s="73" t="s">
        <v>909</v>
      </c>
    </row>
    <row r="34" spans="1:2" s="43" customFormat="1" x14ac:dyDescent="0.25">
      <c r="A34" s="44" t="s">
        <v>652</v>
      </c>
      <c r="B34" s="73" t="s">
        <v>909</v>
      </c>
    </row>
    <row r="35" spans="1:2" s="43" customFormat="1" x14ac:dyDescent="0.25">
      <c r="A35" s="44" t="s">
        <v>652</v>
      </c>
      <c r="B35" s="73" t="s">
        <v>909</v>
      </c>
    </row>
    <row r="36" spans="1:2" s="43" customFormat="1" x14ac:dyDescent="0.25">
      <c r="A36" s="44" t="s">
        <v>652</v>
      </c>
      <c r="B36" s="73" t="s">
        <v>909</v>
      </c>
    </row>
    <row r="37" spans="1:2" s="43" customFormat="1" x14ac:dyDescent="0.25">
      <c r="A37" s="44" t="s">
        <v>652</v>
      </c>
      <c r="B37" s="73" t="s">
        <v>909</v>
      </c>
    </row>
    <row r="38" spans="1:2" s="43" customFormat="1" x14ac:dyDescent="0.25">
      <c r="A38" s="44" t="s">
        <v>652</v>
      </c>
      <c r="B38" s="73" t="s">
        <v>909</v>
      </c>
    </row>
    <row r="39" spans="1:2" s="43" customFormat="1" x14ac:dyDescent="0.25">
      <c r="A39" s="44" t="s">
        <v>652</v>
      </c>
      <c r="B39" s="73" t="s">
        <v>909</v>
      </c>
    </row>
    <row r="40" spans="1:2" s="43" customFormat="1" ht="114.75" customHeight="1" x14ac:dyDescent="0.25">
      <c r="A40" s="44" t="s">
        <v>652</v>
      </c>
      <c r="B40" s="73" t="s">
        <v>909</v>
      </c>
    </row>
    <row r="41" spans="1:2" s="43" customFormat="1" x14ac:dyDescent="0.25">
      <c r="A41" s="44" t="s">
        <v>908</v>
      </c>
      <c r="B41" s="44" t="s">
        <v>748</v>
      </c>
    </row>
    <row r="42" spans="1:2" s="43" customFormat="1" x14ac:dyDescent="0.25">
      <c r="A42" s="44" t="s">
        <v>908</v>
      </c>
      <c r="B42" s="44" t="s">
        <v>748</v>
      </c>
    </row>
    <row r="43" spans="1:2" s="43" customFormat="1" x14ac:dyDescent="0.25">
      <c r="A43" s="44" t="s">
        <v>908</v>
      </c>
      <c r="B43" s="44" t="s">
        <v>748</v>
      </c>
    </row>
    <row r="44" spans="1:2" s="43" customFormat="1" x14ac:dyDescent="0.25">
      <c r="A44" s="44" t="s">
        <v>908</v>
      </c>
      <c r="B44" s="44" t="s">
        <v>748</v>
      </c>
    </row>
    <row r="45" spans="1:2" s="43" customFormat="1" x14ac:dyDescent="0.25">
      <c r="A45" s="44" t="s">
        <v>908</v>
      </c>
      <c r="B45" s="44" t="s">
        <v>748</v>
      </c>
    </row>
    <row r="46" spans="1:2" s="43" customFormat="1" x14ac:dyDescent="0.25">
      <c r="A46" s="44" t="s">
        <v>908</v>
      </c>
      <c r="B46" s="44" t="s">
        <v>748</v>
      </c>
    </row>
    <row r="47" spans="1:2" s="43" customFormat="1" x14ac:dyDescent="0.25">
      <c r="A47" s="44" t="s">
        <v>908</v>
      </c>
      <c r="B47" s="44" t="s">
        <v>748</v>
      </c>
    </row>
    <row r="48" spans="1:2" s="43" customFormat="1" x14ac:dyDescent="0.25">
      <c r="A48" s="44" t="s">
        <v>908</v>
      </c>
      <c r="B48" s="44" t="s">
        <v>748</v>
      </c>
    </row>
    <row r="49" spans="1:2" s="43" customFormat="1" ht="137.25" customHeight="1" x14ac:dyDescent="0.25">
      <c r="A49" s="44" t="s">
        <v>601</v>
      </c>
      <c r="B49" s="73" t="s">
        <v>345</v>
      </c>
    </row>
    <row r="50" spans="1:2" s="43" customFormat="1" ht="95.85" customHeight="1" x14ac:dyDescent="0.25">
      <c r="A50" s="44" t="s">
        <v>601</v>
      </c>
      <c r="B50" s="73" t="s">
        <v>345</v>
      </c>
    </row>
    <row r="51" spans="1:2" s="43" customFormat="1" x14ac:dyDescent="0.25">
      <c r="A51" s="44" t="s">
        <v>601</v>
      </c>
      <c r="B51" s="73" t="s">
        <v>345</v>
      </c>
    </row>
    <row r="52" spans="1:2" s="43" customFormat="1" ht="63.75" customHeight="1" x14ac:dyDescent="0.25">
      <c r="A52" s="44" t="s">
        <v>601</v>
      </c>
      <c r="B52" s="73" t="s">
        <v>345</v>
      </c>
    </row>
    <row r="53" spans="1:2" s="43" customFormat="1" ht="25.5" customHeight="1" x14ac:dyDescent="0.25">
      <c r="A53" s="44" t="s">
        <v>601</v>
      </c>
      <c r="B53" s="73" t="s">
        <v>345</v>
      </c>
    </row>
    <row r="54" spans="1:2" s="43" customFormat="1" x14ac:dyDescent="0.25">
      <c r="A54" s="44" t="s">
        <v>601</v>
      </c>
      <c r="B54" s="73" t="s">
        <v>345</v>
      </c>
    </row>
    <row r="55" spans="1:2" s="43" customFormat="1" x14ac:dyDescent="0.25">
      <c r="A55" s="44" t="s">
        <v>601</v>
      </c>
      <c r="B55" s="73" t="s">
        <v>345</v>
      </c>
    </row>
    <row r="56" spans="1:2" s="43" customFormat="1" x14ac:dyDescent="0.25">
      <c r="A56" s="44" t="s">
        <v>601</v>
      </c>
      <c r="B56" s="73" t="s">
        <v>345</v>
      </c>
    </row>
    <row r="57" spans="1:2" s="43" customFormat="1" x14ac:dyDescent="0.25">
      <c r="A57" s="44" t="s">
        <v>601</v>
      </c>
      <c r="B57" s="73" t="s">
        <v>345</v>
      </c>
    </row>
    <row r="58" spans="1:2" s="43" customFormat="1" x14ac:dyDescent="0.25">
      <c r="A58" s="44" t="s">
        <v>601</v>
      </c>
      <c r="B58" s="73" t="s">
        <v>345</v>
      </c>
    </row>
    <row r="59" spans="1:2" s="43" customFormat="1" x14ac:dyDescent="0.25">
      <c r="A59" s="44" t="s">
        <v>601</v>
      </c>
      <c r="B59" s="73" t="s">
        <v>345</v>
      </c>
    </row>
    <row r="60" spans="1:2" s="43" customFormat="1" x14ac:dyDescent="0.25">
      <c r="A60" s="44" t="s">
        <v>601</v>
      </c>
      <c r="B60" s="73" t="s">
        <v>345</v>
      </c>
    </row>
    <row r="61" spans="1:2" s="43" customFormat="1" x14ac:dyDescent="0.25">
      <c r="A61" s="44" t="s">
        <v>601</v>
      </c>
      <c r="B61" s="73" t="s">
        <v>345</v>
      </c>
    </row>
    <row r="62" spans="1:2" s="43" customFormat="1" x14ac:dyDescent="0.25">
      <c r="A62" s="44" t="s">
        <v>601</v>
      </c>
      <c r="B62" s="73" t="s">
        <v>345</v>
      </c>
    </row>
    <row r="63" spans="1:2" s="43" customFormat="1" x14ac:dyDescent="0.25">
      <c r="A63" s="44" t="s">
        <v>601</v>
      </c>
      <c r="B63" s="73" t="s">
        <v>345</v>
      </c>
    </row>
    <row r="64" spans="1:2" s="43" customFormat="1" x14ac:dyDescent="0.25">
      <c r="A64" s="44" t="s">
        <v>601</v>
      </c>
      <c r="B64" s="73" t="s">
        <v>345</v>
      </c>
    </row>
    <row r="65" spans="1:2" s="43" customFormat="1" x14ac:dyDescent="0.25">
      <c r="A65" s="44" t="s">
        <v>601</v>
      </c>
      <c r="B65" s="73" t="s">
        <v>345</v>
      </c>
    </row>
    <row r="66" spans="1:2" s="43" customFormat="1" ht="127.5" customHeight="1" x14ac:dyDescent="0.25">
      <c r="A66" s="44" t="s">
        <v>601</v>
      </c>
      <c r="B66" s="73" t="s">
        <v>345</v>
      </c>
    </row>
    <row r="67" spans="1:2" s="43" customFormat="1" x14ac:dyDescent="0.25">
      <c r="A67" s="44" t="s">
        <v>601</v>
      </c>
      <c r="B67" s="73" t="s">
        <v>345</v>
      </c>
    </row>
    <row r="68" spans="1:2" s="43" customFormat="1" x14ac:dyDescent="0.25">
      <c r="A68" s="44" t="s">
        <v>601</v>
      </c>
      <c r="B68" s="73" t="s">
        <v>345</v>
      </c>
    </row>
    <row r="69" spans="1:2" s="43" customFormat="1" x14ac:dyDescent="0.25">
      <c r="A69" s="44" t="s">
        <v>601</v>
      </c>
      <c r="B69" s="73" t="s">
        <v>345</v>
      </c>
    </row>
    <row r="70" spans="1:2" s="43" customFormat="1" x14ac:dyDescent="0.25">
      <c r="A70" s="44" t="s">
        <v>601</v>
      </c>
      <c r="B70" s="73" t="s">
        <v>345</v>
      </c>
    </row>
    <row r="71" spans="1:2" s="43" customFormat="1" x14ac:dyDescent="0.25">
      <c r="A71" s="44" t="s">
        <v>601</v>
      </c>
      <c r="B71" s="73" t="s">
        <v>345</v>
      </c>
    </row>
    <row r="72" spans="1:2" s="43" customFormat="1" x14ac:dyDescent="0.25">
      <c r="A72" s="44" t="s">
        <v>601</v>
      </c>
      <c r="B72" s="73" t="s">
        <v>345</v>
      </c>
    </row>
    <row r="73" spans="1:2" s="43" customFormat="1" ht="28.35" customHeight="1" x14ac:dyDescent="0.25">
      <c r="A73" s="44" t="s">
        <v>601</v>
      </c>
      <c r="B73" s="73" t="s">
        <v>345</v>
      </c>
    </row>
    <row r="74" spans="1:2" s="43" customFormat="1" x14ac:dyDescent="0.25">
      <c r="A74" s="44" t="s">
        <v>601</v>
      </c>
      <c r="B74" s="73" t="s">
        <v>345</v>
      </c>
    </row>
    <row r="75" spans="1:2" s="43" customFormat="1" x14ac:dyDescent="0.25">
      <c r="A75" s="44" t="s">
        <v>601</v>
      </c>
      <c r="B75" s="73" t="s">
        <v>345</v>
      </c>
    </row>
    <row r="76" spans="1:2" s="43" customFormat="1" x14ac:dyDescent="0.25">
      <c r="A76" s="44" t="s">
        <v>601</v>
      </c>
      <c r="B76" s="73" t="s">
        <v>345</v>
      </c>
    </row>
    <row r="77" spans="1:2" s="43" customFormat="1" x14ac:dyDescent="0.25">
      <c r="A77" s="44" t="s">
        <v>601</v>
      </c>
      <c r="B77" s="73" t="s">
        <v>345</v>
      </c>
    </row>
    <row r="78" spans="1:2" s="43" customFormat="1" x14ac:dyDescent="0.25">
      <c r="A78" s="44" t="s">
        <v>601</v>
      </c>
      <c r="B78" s="73" t="s">
        <v>345</v>
      </c>
    </row>
    <row r="79" spans="1:2" s="43" customFormat="1" x14ac:dyDescent="0.25">
      <c r="A79" s="44" t="s">
        <v>601</v>
      </c>
      <c r="B79" s="73" t="s">
        <v>345</v>
      </c>
    </row>
    <row r="80" spans="1:2" s="43" customFormat="1" x14ac:dyDescent="0.25">
      <c r="A80" s="44" t="s">
        <v>601</v>
      </c>
      <c r="B80" s="73" t="s">
        <v>345</v>
      </c>
    </row>
    <row r="81" spans="1:2" s="43" customFormat="1" x14ac:dyDescent="0.25">
      <c r="A81" s="44" t="s">
        <v>601</v>
      </c>
      <c r="B81" s="73" t="s">
        <v>345</v>
      </c>
    </row>
    <row r="82" spans="1:2" s="43" customFormat="1" x14ac:dyDescent="0.25">
      <c r="A82" s="44" t="s">
        <v>601</v>
      </c>
      <c r="B82" s="73" t="s">
        <v>345</v>
      </c>
    </row>
    <row r="83" spans="1:2" s="43" customFormat="1" x14ac:dyDescent="0.25">
      <c r="A83" s="44" t="s">
        <v>601</v>
      </c>
      <c r="B83" s="73" t="s">
        <v>345</v>
      </c>
    </row>
    <row r="84" spans="1:2" s="43" customFormat="1" x14ac:dyDescent="0.25">
      <c r="A84" s="44" t="s">
        <v>601</v>
      </c>
      <c r="B84" s="73" t="s">
        <v>345</v>
      </c>
    </row>
    <row r="85" spans="1:2" s="43" customFormat="1" x14ac:dyDescent="0.25">
      <c r="A85" s="44" t="s">
        <v>601</v>
      </c>
      <c r="B85" s="73" t="s">
        <v>345</v>
      </c>
    </row>
    <row r="86" spans="1:2" s="43" customFormat="1" x14ac:dyDescent="0.25">
      <c r="A86" s="44" t="s">
        <v>601</v>
      </c>
      <c r="B86" s="73" t="s">
        <v>345</v>
      </c>
    </row>
    <row r="87" spans="1:2" s="43" customFormat="1" x14ac:dyDescent="0.25">
      <c r="A87" s="44" t="s">
        <v>601</v>
      </c>
      <c r="B87" s="73" t="s">
        <v>345</v>
      </c>
    </row>
    <row r="88" spans="1:2" s="43" customFormat="1" x14ac:dyDescent="0.25">
      <c r="A88" s="44" t="s">
        <v>601</v>
      </c>
      <c r="B88" s="73" t="s">
        <v>345</v>
      </c>
    </row>
    <row r="89" spans="1:2" s="43" customFormat="1" x14ac:dyDescent="0.25">
      <c r="A89" s="44" t="s">
        <v>601</v>
      </c>
      <c r="B89" s="44" t="s">
        <v>37</v>
      </c>
    </row>
    <row r="90" spans="1:2" s="43" customFormat="1" x14ac:dyDescent="0.25">
      <c r="A90" s="44" t="s">
        <v>601</v>
      </c>
      <c r="B90" s="44" t="s">
        <v>37</v>
      </c>
    </row>
    <row r="91" spans="1:2" s="43" customFormat="1" x14ac:dyDescent="0.25">
      <c r="A91" s="44" t="s">
        <v>601</v>
      </c>
      <c r="B91" s="44" t="s">
        <v>37</v>
      </c>
    </row>
    <row r="92" spans="1:2" s="43" customFormat="1" x14ac:dyDescent="0.25">
      <c r="A92" s="44" t="s">
        <v>601</v>
      </c>
      <c r="B92" s="44" t="s">
        <v>37</v>
      </c>
    </row>
    <row r="93" spans="1:2" s="43" customFormat="1" x14ac:dyDescent="0.25">
      <c r="A93" s="44" t="s">
        <v>601</v>
      </c>
      <c r="B93" s="44" t="s">
        <v>37</v>
      </c>
    </row>
    <row r="94" spans="1:2" s="43" customFormat="1" x14ac:dyDescent="0.25">
      <c r="A94" s="44" t="s">
        <v>601</v>
      </c>
      <c r="B94" s="44" t="s">
        <v>37</v>
      </c>
    </row>
    <row r="95" spans="1:2" s="43" customFormat="1" x14ac:dyDescent="0.25">
      <c r="A95" s="44" t="s">
        <v>601</v>
      </c>
      <c r="B95" s="44" t="s">
        <v>37</v>
      </c>
    </row>
    <row r="96" spans="1:2" s="43" customFormat="1" x14ac:dyDescent="0.25">
      <c r="A96" s="44" t="s">
        <v>601</v>
      </c>
      <c r="B96" s="44" t="s">
        <v>37</v>
      </c>
    </row>
    <row r="97" spans="1:2" s="43" customFormat="1" x14ac:dyDescent="0.25">
      <c r="A97" s="44" t="s">
        <v>601</v>
      </c>
      <c r="B97" s="44" t="s">
        <v>37</v>
      </c>
    </row>
    <row r="98" spans="1:2" s="43" customFormat="1" x14ac:dyDescent="0.25">
      <c r="A98" s="44" t="s">
        <v>601</v>
      </c>
      <c r="B98" s="44" t="s">
        <v>37</v>
      </c>
    </row>
    <row r="99" spans="1:2" s="43" customFormat="1" x14ac:dyDescent="0.25">
      <c r="A99" s="44" t="s">
        <v>601</v>
      </c>
      <c r="B99" s="44" t="s">
        <v>37</v>
      </c>
    </row>
    <row r="100" spans="1:2" s="43" customFormat="1" x14ac:dyDescent="0.25">
      <c r="A100" s="44" t="s">
        <v>601</v>
      </c>
      <c r="B100" s="44" t="s">
        <v>37</v>
      </c>
    </row>
    <row r="101" spans="1:2" s="43" customFormat="1" x14ac:dyDescent="0.25">
      <c r="A101" s="44" t="s">
        <v>601</v>
      </c>
      <c r="B101" s="44" t="s">
        <v>37</v>
      </c>
    </row>
    <row r="102" spans="1:2" s="43" customFormat="1" x14ac:dyDescent="0.25">
      <c r="A102" s="44" t="s">
        <v>601</v>
      </c>
      <c r="B102" s="44" t="s">
        <v>37</v>
      </c>
    </row>
    <row r="103" spans="1:2" s="43" customFormat="1" x14ac:dyDescent="0.25">
      <c r="A103" s="44" t="s">
        <v>601</v>
      </c>
      <c r="B103" s="44" t="s">
        <v>37</v>
      </c>
    </row>
    <row r="104" spans="1:2" s="43" customFormat="1" x14ac:dyDescent="0.25">
      <c r="A104" s="44" t="s">
        <v>601</v>
      </c>
      <c r="B104" s="44" t="s">
        <v>37</v>
      </c>
    </row>
    <row r="105" spans="1:2" x14ac:dyDescent="0.2">
      <c r="A105" s="44" t="s">
        <v>601</v>
      </c>
      <c r="B105" s="44" t="s">
        <v>37</v>
      </c>
    </row>
    <row r="106" spans="1:2" x14ac:dyDescent="0.2">
      <c r="A106" s="44" t="s">
        <v>601</v>
      </c>
      <c r="B106" s="44" t="s">
        <v>37</v>
      </c>
    </row>
    <row r="107" spans="1:2" x14ac:dyDescent="0.2">
      <c r="A107" s="44" t="s">
        <v>601</v>
      </c>
      <c r="B107" s="73" t="s">
        <v>38</v>
      </c>
    </row>
    <row r="108" spans="1:2" x14ac:dyDescent="0.2">
      <c r="A108" s="44" t="s">
        <v>601</v>
      </c>
      <c r="B108" s="73" t="s">
        <v>38</v>
      </c>
    </row>
    <row r="109" spans="1:2" x14ac:dyDescent="0.2">
      <c r="A109" s="44" t="s">
        <v>601</v>
      </c>
      <c r="B109" s="73" t="s">
        <v>38</v>
      </c>
    </row>
    <row r="110" spans="1:2" x14ac:dyDescent="0.2">
      <c r="A110" s="44" t="s">
        <v>601</v>
      </c>
      <c r="B110" s="73" t="s">
        <v>38</v>
      </c>
    </row>
    <row r="111" spans="1:2" x14ac:dyDescent="0.2">
      <c r="A111" s="44" t="s">
        <v>601</v>
      </c>
      <c r="B111" s="73" t="s">
        <v>38</v>
      </c>
    </row>
    <row r="112" spans="1:2" x14ac:dyDescent="0.2">
      <c r="A112" s="44" t="s">
        <v>601</v>
      </c>
      <c r="B112" s="73" t="s">
        <v>38</v>
      </c>
    </row>
    <row r="113" spans="1:2" x14ac:dyDescent="0.2">
      <c r="A113" s="44" t="s">
        <v>601</v>
      </c>
      <c r="B113" s="73" t="s">
        <v>38</v>
      </c>
    </row>
    <row r="114" spans="1:2" x14ac:dyDescent="0.2">
      <c r="A114" s="44" t="s">
        <v>601</v>
      </c>
      <c r="B114" s="73" t="s">
        <v>38</v>
      </c>
    </row>
    <row r="115" spans="1:2" x14ac:dyDescent="0.2">
      <c r="A115" s="44" t="s">
        <v>601</v>
      </c>
      <c r="B115" s="73" t="s">
        <v>38</v>
      </c>
    </row>
    <row r="116" spans="1:2" x14ac:dyDescent="0.2">
      <c r="A116" s="44" t="s">
        <v>601</v>
      </c>
      <c r="B116" s="73" t="s">
        <v>38</v>
      </c>
    </row>
    <row r="117" spans="1:2" x14ac:dyDescent="0.2">
      <c r="A117" s="44" t="s">
        <v>601</v>
      </c>
      <c r="B117" s="73" t="s">
        <v>38</v>
      </c>
    </row>
    <row r="118" spans="1:2" x14ac:dyDescent="0.2">
      <c r="A118" s="44" t="s">
        <v>601</v>
      </c>
      <c r="B118" s="73" t="s">
        <v>38</v>
      </c>
    </row>
    <row r="119" spans="1:2" x14ac:dyDescent="0.2">
      <c r="A119" s="44" t="s">
        <v>601</v>
      </c>
      <c r="B119" s="73" t="s">
        <v>38</v>
      </c>
    </row>
    <row r="120" spans="1:2" x14ac:dyDescent="0.2">
      <c r="A120" s="44" t="s">
        <v>601</v>
      </c>
      <c r="B120" s="73" t="s">
        <v>38</v>
      </c>
    </row>
    <row r="121" spans="1:2" x14ac:dyDescent="0.2">
      <c r="A121" s="44" t="s">
        <v>601</v>
      </c>
      <c r="B121" s="73" t="s">
        <v>38</v>
      </c>
    </row>
    <row r="122" spans="1:2" x14ac:dyDescent="0.2">
      <c r="A122" s="44" t="s">
        <v>601</v>
      </c>
      <c r="B122" s="44" t="s">
        <v>37</v>
      </c>
    </row>
    <row r="123" spans="1:2" x14ac:dyDescent="0.2">
      <c r="A123" s="44" t="s">
        <v>601</v>
      </c>
      <c r="B123" s="73" t="s">
        <v>39</v>
      </c>
    </row>
    <row r="124" spans="1:2" x14ac:dyDescent="0.2">
      <c r="A124" s="44" t="s">
        <v>601</v>
      </c>
      <c r="B124" s="73" t="s">
        <v>39</v>
      </c>
    </row>
    <row r="125" spans="1:2" x14ac:dyDescent="0.2">
      <c r="A125" s="44" t="s">
        <v>601</v>
      </c>
      <c r="B125" s="73" t="s">
        <v>39</v>
      </c>
    </row>
    <row r="126" spans="1:2" x14ac:dyDescent="0.2">
      <c r="A126" s="44" t="s">
        <v>601</v>
      </c>
      <c r="B126" s="73" t="s">
        <v>39</v>
      </c>
    </row>
    <row r="127" spans="1:2" x14ac:dyDescent="0.2">
      <c r="A127" s="44" t="s">
        <v>652</v>
      </c>
      <c r="B127" s="73" t="s">
        <v>909</v>
      </c>
    </row>
    <row r="128" spans="1:2" x14ac:dyDescent="0.2">
      <c r="A128" s="44" t="s">
        <v>908</v>
      </c>
      <c r="B128" s="44" t="s">
        <v>748</v>
      </c>
    </row>
    <row r="129" spans="1:2" x14ac:dyDescent="0.2">
      <c r="A129" s="44" t="s">
        <v>908</v>
      </c>
      <c r="B129" s="44" t="s">
        <v>748</v>
      </c>
    </row>
    <row r="130" spans="1:2" x14ac:dyDescent="0.2">
      <c r="A130" s="44" t="s">
        <v>908</v>
      </c>
      <c r="B130" s="44" t="s">
        <v>748</v>
      </c>
    </row>
    <row r="131" spans="1:2" x14ac:dyDescent="0.2">
      <c r="A131" s="44" t="s">
        <v>908</v>
      </c>
      <c r="B131" s="44" t="s">
        <v>748</v>
      </c>
    </row>
    <row r="132" spans="1:2" x14ac:dyDescent="0.2">
      <c r="A132" s="44" t="s">
        <v>601</v>
      </c>
      <c r="B132" s="73" t="s">
        <v>331</v>
      </c>
    </row>
    <row r="133" spans="1:2" x14ac:dyDescent="0.2">
      <c r="A133" s="73" t="s">
        <v>331</v>
      </c>
      <c r="B133" s="44" t="s">
        <v>337</v>
      </c>
    </row>
    <row r="134" spans="1:2" x14ac:dyDescent="0.2">
      <c r="A134" s="73" t="s">
        <v>331</v>
      </c>
      <c r="B134" s="44" t="s">
        <v>162</v>
      </c>
    </row>
    <row r="135" spans="1:2" x14ac:dyDescent="0.2">
      <c r="A135" s="73" t="s">
        <v>331</v>
      </c>
      <c r="B135" s="44" t="s">
        <v>338</v>
      </c>
    </row>
    <row r="136" spans="1:2" x14ac:dyDescent="0.2">
      <c r="A136" s="73" t="s">
        <v>331</v>
      </c>
      <c r="B136" s="44" t="s">
        <v>0</v>
      </c>
    </row>
    <row r="137" spans="1:2" s="43" customFormat="1" ht="38.25" customHeight="1" x14ac:dyDescent="0.25">
      <c r="A137" s="73" t="s">
        <v>331</v>
      </c>
      <c r="B137" s="44" t="s">
        <v>10</v>
      </c>
    </row>
    <row r="138" spans="1:2" s="43" customFormat="1" ht="51" customHeight="1" x14ac:dyDescent="0.25">
      <c r="A138" s="73" t="s">
        <v>331</v>
      </c>
      <c r="B138" s="44" t="s">
        <v>199</v>
      </c>
    </row>
    <row r="139" spans="1:2" s="43" customFormat="1" ht="25.5" customHeight="1" x14ac:dyDescent="0.25">
      <c r="A139" s="73" t="s">
        <v>331</v>
      </c>
      <c r="B139" s="44" t="s">
        <v>340</v>
      </c>
    </row>
    <row r="140" spans="1:2" s="43" customFormat="1" ht="38.25" customHeight="1" x14ac:dyDescent="0.25">
      <c r="A140" s="73" t="s">
        <v>331</v>
      </c>
      <c r="B140" s="44" t="s">
        <v>339</v>
      </c>
    </row>
    <row r="141" spans="1:2" s="43" customFormat="1" ht="25.5" customHeight="1" x14ac:dyDescent="0.25">
      <c r="A141" s="73" t="s">
        <v>331</v>
      </c>
      <c r="B141" s="73" t="s">
        <v>3</v>
      </c>
    </row>
    <row r="142" spans="1:2" s="43" customFormat="1" ht="25.5" customHeight="1" x14ac:dyDescent="0.25">
      <c r="A142" s="73" t="s">
        <v>331</v>
      </c>
      <c r="B142" s="73" t="s">
        <v>17</v>
      </c>
    </row>
    <row r="143" spans="1:2" s="43" customFormat="1" ht="25.5" customHeight="1" x14ac:dyDescent="0.25">
      <c r="A143" s="73" t="s">
        <v>331</v>
      </c>
      <c r="B143" s="44" t="s">
        <v>22</v>
      </c>
    </row>
    <row r="144" spans="1:2" s="43" customFormat="1" ht="25.5" customHeight="1" x14ac:dyDescent="0.25">
      <c r="A144" s="73" t="s">
        <v>331</v>
      </c>
      <c r="B144" s="44" t="s">
        <v>335</v>
      </c>
    </row>
    <row r="145" spans="1:2" s="43" customFormat="1" ht="38.25" customHeight="1" x14ac:dyDescent="0.25">
      <c r="A145" s="73" t="s">
        <v>331</v>
      </c>
      <c r="B145" s="44" t="s">
        <v>2</v>
      </c>
    </row>
    <row r="146" spans="1:2" s="43" customFormat="1" ht="76.5" customHeight="1" x14ac:dyDescent="0.25">
      <c r="A146" s="73" t="s">
        <v>331</v>
      </c>
      <c r="B146" s="44" t="s">
        <v>334</v>
      </c>
    </row>
    <row r="147" spans="1:2" s="43" customFormat="1" ht="25.5" customHeight="1" x14ac:dyDescent="0.25">
      <c r="A147" s="73" t="s">
        <v>754</v>
      </c>
      <c r="B147" s="44" t="s">
        <v>660</v>
      </c>
    </row>
    <row r="148" spans="1:2" s="43" customFormat="1" ht="39" customHeight="1" x14ac:dyDescent="0.25">
      <c r="A148" s="73" t="s">
        <v>754</v>
      </c>
      <c r="B148" s="44" t="s">
        <v>910</v>
      </c>
    </row>
    <row r="149" spans="1:2" s="43" customFormat="1" ht="38.25" customHeight="1" x14ac:dyDescent="0.25">
      <c r="A149" s="73" t="s">
        <v>754</v>
      </c>
      <c r="B149" s="44" t="s">
        <v>664</v>
      </c>
    </row>
    <row r="150" spans="1:2" s="43" customFormat="1" x14ac:dyDescent="0.25">
      <c r="A150" s="73" t="s">
        <v>754</v>
      </c>
      <c r="B150" s="44" t="s">
        <v>665</v>
      </c>
    </row>
    <row r="151" spans="1:2" s="43" customFormat="1" x14ac:dyDescent="0.25">
      <c r="A151" s="73" t="s">
        <v>754</v>
      </c>
      <c r="B151" s="44" t="s">
        <v>759</v>
      </c>
    </row>
    <row r="152" spans="1:2" s="43" customFormat="1" ht="25.5" customHeight="1" x14ac:dyDescent="0.25">
      <c r="A152" s="73" t="s">
        <v>754</v>
      </c>
      <c r="B152" s="44" t="s">
        <v>663</v>
      </c>
    </row>
    <row r="153" spans="1:2" s="43" customFormat="1" ht="25.5" customHeight="1" x14ac:dyDescent="0.25">
      <c r="A153" s="73" t="s">
        <v>754</v>
      </c>
      <c r="B153" s="44" t="s">
        <v>662</v>
      </c>
    </row>
    <row r="154" spans="1:2" s="43" customFormat="1" ht="73.5" customHeight="1" x14ac:dyDescent="0.25">
      <c r="A154" s="73" t="s">
        <v>909</v>
      </c>
      <c r="B154" s="73" t="s">
        <v>357</v>
      </c>
    </row>
    <row r="155" spans="1:2" s="43" customFormat="1" ht="12.75" customHeight="1" x14ac:dyDescent="0.25">
      <c r="A155" s="73" t="s">
        <v>909</v>
      </c>
      <c r="B155" s="73" t="s">
        <v>358</v>
      </c>
    </row>
    <row r="156" spans="1:2" x14ac:dyDescent="0.2">
      <c r="A156" s="73" t="s">
        <v>909</v>
      </c>
      <c r="B156" s="73" t="s">
        <v>352</v>
      </c>
    </row>
    <row r="157" spans="1:2" x14ac:dyDescent="0.2">
      <c r="A157" s="73" t="s">
        <v>909</v>
      </c>
      <c r="B157" s="73" t="s">
        <v>363</v>
      </c>
    </row>
    <row r="158" spans="1:2" x14ac:dyDescent="0.2">
      <c r="A158" s="73" t="s">
        <v>909</v>
      </c>
      <c r="B158" s="73" t="s">
        <v>364</v>
      </c>
    </row>
    <row r="159" spans="1:2" x14ac:dyDescent="0.2">
      <c r="A159" s="73" t="s">
        <v>909</v>
      </c>
      <c r="B159" s="73" t="s">
        <v>355</v>
      </c>
    </row>
    <row r="160" spans="1:2" x14ac:dyDescent="0.2">
      <c r="A160" s="73" t="s">
        <v>909</v>
      </c>
      <c r="B160" s="73" t="s">
        <v>356</v>
      </c>
    </row>
    <row r="161" spans="1:2" x14ac:dyDescent="0.2">
      <c r="A161" s="73" t="s">
        <v>909</v>
      </c>
      <c r="B161" s="44" t="s">
        <v>365</v>
      </c>
    </row>
    <row r="162" spans="1:2" s="43" customFormat="1" x14ac:dyDescent="0.25">
      <c r="A162" s="73" t="s">
        <v>909</v>
      </c>
      <c r="B162" s="44" t="s">
        <v>366</v>
      </c>
    </row>
    <row r="163" spans="1:2" s="43" customFormat="1" ht="24.75" customHeight="1" x14ac:dyDescent="0.25">
      <c r="A163" s="73" t="s">
        <v>909</v>
      </c>
      <c r="B163" s="44" t="s">
        <v>359</v>
      </c>
    </row>
    <row r="164" spans="1:2" s="43" customFormat="1" ht="43.5" customHeight="1" x14ac:dyDescent="0.25">
      <c r="A164" s="73" t="s">
        <v>909</v>
      </c>
      <c r="B164" s="44" t="s">
        <v>360</v>
      </c>
    </row>
    <row r="165" spans="1:2" s="43" customFormat="1" ht="107.1" customHeight="1" x14ac:dyDescent="0.25">
      <c r="A165" s="73" t="s">
        <v>909</v>
      </c>
      <c r="B165" s="44" t="s">
        <v>361</v>
      </c>
    </row>
    <row r="166" spans="1:2" s="43" customFormat="1" ht="38.25" customHeight="1" x14ac:dyDescent="0.25">
      <c r="A166" s="73" t="s">
        <v>909</v>
      </c>
      <c r="B166" s="44" t="s">
        <v>362</v>
      </c>
    </row>
    <row r="167" spans="1:2" s="43" customFormat="1" x14ac:dyDescent="0.25">
      <c r="A167" s="73" t="s">
        <v>909</v>
      </c>
      <c r="B167" s="44" t="s">
        <v>353</v>
      </c>
    </row>
    <row r="168" spans="1:2" s="43" customFormat="1" x14ac:dyDescent="0.25">
      <c r="A168" s="73" t="s">
        <v>909</v>
      </c>
      <c r="B168" s="44" t="s">
        <v>354</v>
      </c>
    </row>
    <row r="169" spans="1:2" s="43" customFormat="1" ht="12.75" customHeight="1" x14ac:dyDescent="0.25">
      <c r="A169" s="73" t="s">
        <v>909</v>
      </c>
      <c r="B169" s="44" t="s">
        <v>676</v>
      </c>
    </row>
    <row r="170" spans="1:2" x14ac:dyDescent="0.2">
      <c r="A170" s="73" t="s">
        <v>909</v>
      </c>
      <c r="B170" s="44" t="s">
        <v>675</v>
      </c>
    </row>
    <row r="171" spans="1:2" x14ac:dyDescent="0.2">
      <c r="A171" s="73" t="s">
        <v>909</v>
      </c>
      <c r="B171" s="44" t="s">
        <v>653</v>
      </c>
    </row>
    <row r="172" spans="1:2" x14ac:dyDescent="0.2">
      <c r="A172" s="44" t="s">
        <v>748</v>
      </c>
      <c r="B172" s="44" t="s">
        <v>565</v>
      </c>
    </row>
    <row r="173" spans="1:2" x14ac:dyDescent="0.2">
      <c r="A173" s="44" t="s">
        <v>748</v>
      </c>
      <c r="B173" s="44" t="s">
        <v>248</v>
      </c>
    </row>
    <row r="174" spans="1:2" x14ac:dyDescent="0.2">
      <c r="A174" s="44" t="s">
        <v>748</v>
      </c>
      <c r="B174" s="44" t="s">
        <v>365</v>
      </c>
    </row>
    <row r="175" spans="1:2" x14ac:dyDescent="0.2">
      <c r="A175" s="44" t="s">
        <v>748</v>
      </c>
      <c r="B175" s="44" t="s">
        <v>366</v>
      </c>
    </row>
    <row r="176" spans="1:2" x14ac:dyDescent="0.2">
      <c r="A176" s="44" t="s">
        <v>748</v>
      </c>
      <c r="B176" s="44" t="s">
        <v>377</v>
      </c>
    </row>
    <row r="177" spans="1:2" x14ac:dyDescent="0.2">
      <c r="A177" s="44" t="s">
        <v>748</v>
      </c>
      <c r="B177" s="44" t="s">
        <v>731</v>
      </c>
    </row>
    <row r="178" spans="1:2" x14ac:dyDescent="0.2">
      <c r="A178" s="44" t="s">
        <v>748</v>
      </c>
      <c r="B178" s="44" t="s">
        <v>740</v>
      </c>
    </row>
    <row r="179" spans="1:2" x14ac:dyDescent="0.2">
      <c r="A179" s="44" t="s">
        <v>748</v>
      </c>
      <c r="B179" s="44" t="s">
        <v>47</v>
      </c>
    </row>
    <row r="180" spans="1:2" x14ac:dyDescent="0.2">
      <c r="A180" s="73" t="s">
        <v>345</v>
      </c>
      <c r="B180" s="44" t="s">
        <v>177</v>
      </c>
    </row>
    <row r="181" spans="1:2" x14ac:dyDescent="0.2">
      <c r="A181" s="73" t="s">
        <v>345</v>
      </c>
      <c r="B181" s="44" t="s">
        <v>22</v>
      </c>
    </row>
    <row r="182" spans="1:2" x14ac:dyDescent="0.2">
      <c r="A182" s="73" t="s">
        <v>345</v>
      </c>
      <c r="B182" s="44" t="s">
        <v>10</v>
      </c>
    </row>
    <row r="183" spans="1:2" x14ac:dyDescent="0.2">
      <c r="A183" s="73" t="s">
        <v>345</v>
      </c>
      <c r="B183" s="44" t="s">
        <v>159</v>
      </c>
    </row>
    <row r="184" spans="1:2" x14ac:dyDescent="0.2">
      <c r="A184" s="73" t="s">
        <v>345</v>
      </c>
      <c r="B184" s="73" t="s">
        <v>169</v>
      </c>
    </row>
    <row r="185" spans="1:2" x14ac:dyDescent="0.2">
      <c r="A185" s="73" t="s">
        <v>345</v>
      </c>
      <c r="B185" s="73" t="s">
        <v>171</v>
      </c>
    </row>
    <row r="186" spans="1:2" x14ac:dyDescent="0.2">
      <c r="A186" s="73" t="s">
        <v>345</v>
      </c>
      <c r="B186" s="73" t="s">
        <v>173</v>
      </c>
    </row>
    <row r="187" spans="1:2" x14ac:dyDescent="0.2">
      <c r="A187" s="73" t="s">
        <v>345</v>
      </c>
      <c r="B187" s="73" t="s">
        <v>175</v>
      </c>
    </row>
    <row r="188" spans="1:2" x14ac:dyDescent="0.2">
      <c r="A188" s="73" t="s">
        <v>345</v>
      </c>
      <c r="B188" s="73" t="s">
        <v>168</v>
      </c>
    </row>
    <row r="189" spans="1:2" x14ac:dyDescent="0.2">
      <c r="A189" s="73" t="s">
        <v>345</v>
      </c>
      <c r="B189" s="44" t="s">
        <v>2</v>
      </c>
    </row>
    <row r="190" spans="1:2" x14ac:dyDescent="0.2">
      <c r="A190" s="73" t="s">
        <v>345</v>
      </c>
      <c r="B190" s="73" t="s">
        <v>237</v>
      </c>
    </row>
    <row r="191" spans="1:2" x14ac:dyDescent="0.2">
      <c r="A191" s="73" t="s">
        <v>345</v>
      </c>
      <c r="B191" s="44" t="s">
        <v>34</v>
      </c>
    </row>
    <row r="192" spans="1:2" x14ac:dyDescent="0.2">
      <c r="A192" s="73" t="s">
        <v>345</v>
      </c>
      <c r="B192" s="44" t="s">
        <v>22</v>
      </c>
    </row>
    <row r="193" spans="1:2" x14ac:dyDescent="0.2">
      <c r="A193" s="73" t="s">
        <v>345</v>
      </c>
      <c r="B193" s="73" t="s">
        <v>196</v>
      </c>
    </row>
    <row r="194" spans="1:2" x14ac:dyDescent="0.2">
      <c r="A194" s="73" t="s">
        <v>345</v>
      </c>
      <c r="B194" s="73" t="s">
        <v>209</v>
      </c>
    </row>
    <row r="195" spans="1:2" x14ac:dyDescent="0.2">
      <c r="A195" s="73" t="s">
        <v>345</v>
      </c>
      <c r="B195" s="73" t="s">
        <v>197</v>
      </c>
    </row>
    <row r="196" spans="1:2" x14ac:dyDescent="0.2">
      <c r="A196" s="73" t="s">
        <v>345</v>
      </c>
      <c r="B196" s="73" t="s">
        <v>17</v>
      </c>
    </row>
    <row r="197" spans="1:2" x14ac:dyDescent="0.2">
      <c r="A197" s="73" t="s">
        <v>345</v>
      </c>
      <c r="B197" s="73" t="s">
        <v>3</v>
      </c>
    </row>
    <row r="198" spans="1:2" x14ac:dyDescent="0.2">
      <c r="A198" s="73" t="s">
        <v>345</v>
      </c>
      <c r="B198" s="73" t="s">
        <v>170</v>
      </c>
    </row>
    <row r="199" spans="1:2" x14ac:dyDescent="0.2">
      <c r="A199" s="73" t="s">
        <v>345</v>
      </c>
      <c r="B199" s="73" t="s">
        <v>172</v>
      </c>
    </row>
    <row r="200" spans="1:2" x14ac:dyDescent="0.2">
      <c r="A200" s="73" t="s">
        <v>345</v>
      </c>
      <c r="B200" s="73" t="s">
        <v>174</v>
      </c>
    </row>
    <row r="201" spans="1:2" x14ac:dyDescent="0.2">
      <c r="A201" s="73" t="s">
        <v>345</v>
      </c>
      <c r="B201" s="73" t="s">
        <v>176</v>
      </c>
    </row>
    <row r="202" spans="1:2" x14ac:dyDescent="0.2">
      <c r="A202" s="73" t="s">
        <v>345</v>
      </c>
      <c r="B202" s="44" t="s">
        <v>180</v>
      </c>
    </row>
    <row r="203" spans="1:2" x14ac:dyDescent="0.2">
      <c r="A203" s="73" t="s">
        <v>345</v>
      </c>
      <c r="B203" s="73" t="s">
        <v>234</v>
      </c>
    </row>
    <row r="204" spans="1:2" x14ac:dyDescent="0.2">
      <c r="A204" s="73" t="s">
        <v>345</v>
      </c>
      <c r="B204" s="44" t="s">
        <v>159</v>
      </c>
    </row>
    <row r="205" spans="1:2" x14ac:dyDescent="0.2">
      <c r="A205" s="73" t="s">
        <v>345</v>
      </c>
      <c r="B205" s="73" t="s">
        <v>343</v>
      </c>
    </row>
    <row r="206" spans="1:2" x14ac:dyDescent="0.2">
      <c r="A206" s="73" t="s">
        <v>345</v>
      </c>
      <c r="B206" s="44" t="s">
        <v>205</v>
      </c>
    </row>
    <row r="207" spans="1:2" x14ac:dyDescent="0.2">
      <c r="A207" s="73" t="s">
        <v>345</v>
      </c>
      <c r="B207" s="44" t="s">
        <v>199</v>
      </c>
    </row>
    <row r="208" spans="1:2" x14ac:dyDescent="0.2">
      <c r="A208" s="73" t="s">
        <v>345</v>
      </c>
      <c r="B208" s="73" t="s">
        <v>185</v>
      </c>
    </row>
    <row r="209" spans="1:2" x14ac:dyDescent="0.2">
      <c r="A209" s="73" t="s">
        <v>345</v>
      </c>
      <c r="B209" s="44" t="s">
        <v>214</v>
      </c>
    </row>
    <row r="210" spans="1:2" x14ac:dyDescent="0.2">
      <c r="A210" s="73" t="s">
        <v>345</v>
      </c>
      <c r="B210" s="44" t="s">
        <v>238</v>
      </c>
    </row>
    <row r="211" spans="1:2" x14ac:dyDescent="0.2">
      <c r="A211" s="73" t="s">
        <v>345</v>
      </c>
      <c r="B211" s="73" t="s">
        <v>186</v>
      </c>
    </row>
    <row r="212" spans="1:2" x14ac:dyDescent="0.2">
      <c r="A212" s="73" t="s">
        <v>345</v>
      </c>
      <c r="B212" s="73" t="s">
        <v>166</v>
      </c>
    </row>
    <row r="213" spans="1:2" x14ac:dyDescent="0.2">
      <c r="A213" s="73" t="s">
        <v>345</v>
      </c>
      <c r="B213" s="73" t="s">
        <v>167</v>
      </c>
    </row>
    <row r="214" spans="1:2" x14ac:dyDescent="0.2">
      <c r="A214" s="73" t="s">
        <v>345</v>
      </c>
      <c r="B214" s="73" t="s">
        <v>161</v>
      </c>
    </row>
    <row r="215" spans="1:2" x14ac:dyDescent="0.2">
      <c r="A215" s="73" t="s">
        <v>345</v>
      </c>
      <c r="B215" s="73" t="s">
        <v>163</v>
      </c>
    </row>
    <row r="216" spans="1:2" x14ac:dyDescent="0.2">
      <c r="A216" s="73" t="s">
        <v>345</v>
      </c>
      <c r="B216" s="44" t="s">
        <v>749</v>
      </c>
    </row>
    <row r="217" spans="1:2" x14ac:dyDescent="0.2">
      <c r="A217" s="73" t="s">
        <v>345</v>
      </c>
      <c r="B217" s="44" t="s">
        <v>751</v>
      </c>
    </row>
    <row r="218" spans="1:2" x14ac:dyDescent="0.2">
      <c r="A218" s="73" t="s">
        <v>345</v>
      </c>
      <c r="B218" s="73" t="s">
        <v>750</v>
      </c>
    </row>
    <row r="219" spans="1:2" x14ac:dyDescent="0.2">
      <c r="A219" s="73" t="s">
        <v>345</v>
      </c>
      <c r="B219" s="73" t="s">
        <v>752</v>
      </c>
    </row>
    <row r="220" spans="1:2" x14ac:dyDescent="0.2">
      <c r="A220" s="44" t="s">
        <v>37</v>
      </c>
      <c r="B220" s="44" t="s">
        <v>17</v>
      </c>
    </row>
    <row r="221" spans="1:2" x14ac:dyDescent="0.2">
      <c r="A221" s="44" t="s">
        <v>37</v>
      </c>
      <c r="B221" s="44" t="s">
        <v>12</v>
      </c>
    </row>
    <row r="222" spans="1:2" x14ac:dyDescent="0.2">
      <c r="A222" s="44" t="s">
        <v>37</v>
      </c>
      <c r="B222" s="44" t="s">
        <v>3</v>
      </c>
    </row>
    <row r="223" spans="1:2" x14ac:dyDescent="0.2">
      <c r="A223" s="44" t="s">
        <v>37</v>
      </c>
      <c r="B223" s="44" t="s">
        <v>24</v>
      </c>
    </row>
    <row r="224" spans="1:2" x14ac:dyDescent="0.2">
      <c r="A224" s="44" t="s">
        <v>37</v>
      </c>
      <c r="B224" s="79" t="s">
        <v>31</v>
      </c>
    </row>
    <row r="225" spans="1:2" x14ac:dyDescent="0.2">
      <c r="A225" s="44" t="s">
        <v>37</v>
      </c>
      <c r="B225" s="44" t="s">
        <v>10</v>
      </c>
    </row>
    <row r="226" spans="1:2" x14ac:dyDescent="0.2">
      <c r="A226" s="44" t="s">
        <v>37</v>
      </c>
      <c r="B226" s="44" t="s">
        <v>0</v>
      </c>
    </row>
    <row r="227" spans="1:2" x14ac:dyDescent="0.2">
      <c r="A227" s="44" t="s">
        <v>37</v>
      </c>
      <c r="B227" s="44" t="s">
        <v>26</v>
      </c>
    </row>
    <row r="228" spans="1:2" x14ac:dyDescent="0.2">
      <c r="A228" s="44" t="s">
        <v>37</v>
      </c>
      <c r="B228" s="44" t="s">
        <v>8</v>
      </c>
    </row>
    <row r="229" spans="1:2" x14ac:dyDescent="0.2">
      <c r="A229" s="44" t="s">
        <v>37</v>
      </c>
      <c r="B229" s="44" t="s">
        <v>9</v>
      </c>
    </row>
    <row r="230" spans="1:2" x14ac:dyDescent="0.2">
      <c r="A230" s="44" t="s">
        <v>37</v>
      </c>
      <c r="B230" s="44" t="s">
        <v>6</v>
      </c>
    </row>
    <row r="231" spans="1:2" x14ac:dyDescent="0.2">
      <c r="A231" s="44" t="s">
        <v>37</v>
      </c>
      <c r="B231" s="44" t="s">
        <v>7</v>
      </c>
    </row>
    <row r="232" spans="1:2" x14ac:dyDescent="0.2">
      <c r="A232" s="44" t="s">
        <v>37</v>
      </c>
      <c r="B232" s="44" t="s">
        <v>2</v>
      </c>
    </row>
    <row r="233" spans="1:2" x14ac:dyDescent="0.2">
      <c r="A233" s="44" t="s">
        <v>37</v>
      </c>
      <c r="B233" s="44" t="s">
        <v>22</v>
      </c>
    </row>
    <row r="234" spans="1:2" x14ac:dyDescent="0.2">
      <c r="A234" s="44" t="s">
        <v>37</v>
      </c>
      <c r="B234" s="44" t="s">
        <v>30</v>
      </c>
    </row>
    <row r="235" spans="1:2" x14ac:dyDescent="0.2">
      <c r="A235" s="44" t="s">
        <v>37</v>
      </c>
      <c r="B235" s="44" t="s">
        <v>33</v>
      </c>
    </row>
    <row r="236" spans="1:2" x14ac:dyDescent="0.2">
      <c r="A236" s="44" t="s">
        <v>37</v>
      </c>
      <c r="B236" s="44" t="s">
        <v>23</v>
      </c>
    </row>
    <row r="237" spans="1:2" x14ac:dyDescent="0.2">
      <c r="A237" s="44" t="s">
        <v>37</v>
      </c>
      <c r="B237" s="44" t="s">
        <v>34</v>
      </c>
    </row>
    <row r="238" spans="1:2" x14ac:dyDescent="0.2">
      <c r="A238" s="73" t="s">
        <v>38</v>
      </c>
      <c r="B238" s="44" t="s">
        <v>514</v>
      </c>
    </row>
    <row r="239" spans="1:2" x14ac:dyDescent="0.2">
      <c r="A239" s="73" t="s">
        <v>38</v>
      </c>
      <c r="B239" s="44" t="s">
        <v>516</v>
      </c>
    </row>
    <row r="240" spans="1:2" x14ac:dyDescent="0.2">
      <c r="A240" s="73" t="s">
        <v>38</v>
      </c>
      <c r="B240" s="44" t="s">
        <v>166</v>
      </c>
    </row>
    <row r="241" spans="1:2" x14ac:dyDescent="0.2">
      <c r="A241" s="73" t="s">
        <v>38</v>
      </c>
      <c r="B241" s="44" t="s">
        <v>347</v>
      </c>
    </row>
    <row r="242" spans="1:2" x14ac:dyDescent="0.2">
      <c r="A242" s="73" t="s">
        <v>38</v>
      </c>
      <c r="B242" s="44" t="s">
        <v>526</v>
      </c>
    </row>
    <row r="243" spans="1:2" x14ac:dyDescent="0.2">
      <c r="A243" s="73" t="s">
        <v>38</v>
      </c>
      <c r="B243" s="44" t="s">
        <v>529</v>
      </c>
    </row>
    <row r="244" spans="1:2" x14ac:dyDescent="0.2">
      <c r="A244" s="73" t="s">
        <v>38</v>
      </c>
      <c r="B244" s="44" t="s">
        <v>539</v>
      </c>
    </row>
    <row r="245" spans="1:2" x14ac:dyDescent="0.2">
      <c r="A245" s="73" t="s">
        <v>38</v>
      </c>
      <c r="B245" s="44" t="s">
        <v>542</v>
      </c>
    </row>
    <row r="246" spans="1:2" x14ac:dyDescent="0.2">
      <c r="A246" s="73" t="s">
        <v>38</v>
      </c>
      <c r="B246" s="44" t="s">
        <v>255</v>
      </c>
    </row>
    <row r="247" spans="1:2" x14ac:dyDescent="0.2">
      <c r="A247" s="73" t="s">
        <v>38</v>
      </c>
      <c r="B247" s="44" t="s">
        <v>351</v>
      </c>
    </row>
    <row r="248" spans="1:2" x14ac:dyDescent="0.2">
      <c r="A248" s="73" t="s">
        <v>38</v>
      </c>
      <c r="B248" s="44" t="s">
        <v>532</v>
      </c>
    </row>
    <row r="249" spans="1:2" x14ac:dyDescent="0.2">
      <c r="A249" s="73" t="s">
        <v>38</v>
      </c>
      <c r="B249" s="44" t="s">
        <v>533</v>
      </c>
    </row>
    <row r="250" spans="1:2" x14ac:dyDescent="0.2">
      <c r="A250" s="73" t="s">
        <v>38</v>
      </c>
      <c r="B250" s="44" t="s">
        <v>534</v>
      </c>
    </row>
    <row r="251" spans="1:2" x14ac:dyDescent="0.2">
      <c r="A251" s="73" t="s">
        <v>38</v>
      </c>
      <c r="B251" s="44" t="s">
        <v>535</v>
      </c>
    </row>
    <row r="252" spans="1:2" x14ac:dyDescent="0.2">
      <c r="A252" s="73" t="s">
        <v>38</v>
      </c>
      <c r="B252" s="44" t="s">
        <v>536</v>
      </c>
    </row>
    <row r="253" spans="1:2" x14ac:dyDescent="0.2">
      <c r="A253" s="44" t="s">
        <v>37</v>
      </c>
      <c r="B253" s="44" t="s">
        <v>32</v>
      </c>
    </row>
    <row r="254" spans="1:2" x14ac:dyDescent="0.2">
      <c r="A254" s="73" t="s">
        <v>39</v>
      </c>
      <c r="B254" s="44" t="s">
        <v>63</v>
      </c>
    </row>
    <row r="255" spans="1:2" x14ac:dyDescent="0.2">
      <c r="A255" s="73" t="s">
        <v>39</v>
      </c>
      <c r="B255" s="44" t="s">
        <v>57</v>
      </c>
    </row>
    <row r="256" spans="1:2" x14ac:dyDescent="0.2">
      <c r="A256" s="73" t="s">
        <v>39</v>
      </c>
      <c r="B256" s="44" t="s">
        <v>111</v>
      </c>
    </row>
    <row r="257" spans="1:2" x14ac:dyDescent="0.2">
      <c r="A257" s="73" t="s">
        <v>39</v>
      </c>
      <c r="B257" s="73" t="s">
        <v>83</v>
      </c>
    </row>
    <row r="258" spans="1:2" x14ac:dyDescent="0.2">
      <c r="A258" s="73" t="s">
        <v>909</v>
      </c>
      <c r="B258" s="73" t="s">
        <v>248</v>
      </c>
    </row>
    <row r="259" spans="1:2" x14ac:dyDescent="0.2">
      <c r="A259" s="44" t="s">
        <v>748</v>
      </c>
      <c r="B259" s="44" t="s">
        <v>872</v>
      </c>
    </row>
    <row r="260" spans="1:2" x14ac:dyDescent="0.2">
      <c r="A260" s="44" t="s">
        <v>748</v>
      </c>
      <c r="B260" s="44" t="s">
        <v>871</v>
      </c>
    </row>
    <row r="261" spans="1:2" x14ac:dyDescent="0.2">
      <c r="A261" s="44" t="s">
        <v>748</v>
      </c>
      <c r="B261" s="44" t="s">
        <v>876</v>
      </c>
    </row>
    <row r="262" spans="1:2" x14ac:dyDescent="0.2">
      <c r="A262" s="44" t="s">
        <v>748</v>
      </c>
      <c r="B262" s="44" t="s">
        <v>875</v>
      </c>
    </row>
    <row r="263" spans="1:2" x14ac:dyDescent="0.2">
      <c r="A263" s="73" t="s">
        <v>331</v>
      </c>
      <c r="B263" s="44" t="s">
        <v>336</v>
      </c>
    </row>
    <row r="264" spans="1:2" x14ac:dyDescent="0.2">
      <c r="A264" s="44" t="s">
        <v>337</v>
      </c>
      <c r="B264" s="73" t="s">
        <v>594</v>
      </c>
    </row>
    <row r="265" spans="1:2" x14ac:dyDescent="0.2">
      <c r="A265" s="44" t="s">
        <v>162</v>
      </c>
      <c r="B265" s="73" t="s">
        <v>594</v>
      </c>
    </row>
    <row r="266" spans="1:2" x14ac:dyDescent="0.2">
      <c r="A266" s="44" t="s">
        <v>338</v>
      </c>
      <c r="B266" s="73" t="s">
        <v>594</v>
      </c>
    </row>
    <row r="267" spans="1:2" x14ac:dyDescent="0.2">
      <c r="A267" s="44" t="s">
        <v>0</v>
      </c>
      <c r="B267" s="73" t="s">
        <v>594</v>
      </c>
    </row>
    <row r="268" spans="1:2" x14ac:dyDescent="0.2">
      <c r="A268" s="44" t="s">
        <v>10</v>
      </c>
      <c r="B268" s="73" t="s">
        <v>594</v>
      </c>
    </row>
    <row r="269" spans="1:2" x14ac:dyDescent="0.2">
      <c r="A269" s="44" t="s">
        <v>199</v>
      </c>
      <c r="B269" s="73" t="s">
        <v>594</v>
      </c>
    </row>
    <row r="270" spans="1:2" x14ac:dyDescent="0.2">
      <c r="A270" s="44" t="s">
        <v>340</v>
      </c>
      <c r="B270" s="73" t="s">
        <v>594</v>
      </c>
    </row>
    <row r="271" spans="1:2" x14ac:dyDescent="0.2">
      <c r="A271" s="44" t="s">
        <v>339</v>
      </c>
      <c r="B271" s="73" t="s">
        <v>594</v>
      </c>
    </row>
    <row r="272" spans="1:2" x14ac:dyDescent="0.2">
      <c r="A272" s="73" t="s">
        <v>3</v>
      </c>
      <c r="B272" s="73" t="s">
        <v>594</v>
      </c>
    </row>
    <row r="273" spans="1:2" x14ac:dyDescent="0.2">
      <c r="A273" s="73" t="s">
        <v>17</v>
      </c>
      <c r="B273" s="73" t="s">
        <v>594</v>
      </c>
    </row>
    <row r="274" spans="1:2" x14ac:dyDescent="0.2">
      <c r="A274" s="44" t="s">
        <v>22</v>
      </c>
      <c r="B274" s="73" t="s">
        <v>594</v>
      </c>
    </row>
    <row r="275" spans="1:2" x14ac:dyDescent="0.2">
      <c r="A275" s="44" t="s">
        <v>335</v>
      </c>
      <c r="B275" s="73" t="s">
        <v>594</v>
      </c>
    </row>
    <row r="276" spans="1:2" x14ac:dyDescent="0.2">
      <c r="A276" s="44" t="s">
        <v>2</v>
      </c>
      <c r="B276" s="73" t="s">
        <v>594</v>
      </c>
    </row>
    <row r="277" spans="1:2" x14ac:dyDescent="0.2">
      <c r="A277" s="44" t="s">
        <v>334</v>
      </c>
      <c r="B277" s="73" t="s">
        <v>594</v>
      </c>
    </row>
    <row r="278" spans="1:2" x14ac:dyDescent="0.2">
      <c r="A278" s="44" t="s">
        <v>660</v>
      </c>
      <c r="B278" s="73" t="s">
        <v>626</v>
      </c>
    </row>
    <row r="279" spans="1:2" x14ac:dyDescent="0.2">
      <c r="A279" s="44" t="s">
        <v>910</v>
      </c>
      <c r="B279" s="73" t="s">
        <v>626</v>
      </c>
    </row>
    <row r="280" spans="1:2" x14ac:dyDescent="0.2">
      <c r="A280" s="44" t="s">
        <v>664</v>
      </c>
      <c r="B280" s="73" t="s">
        <v>626</v>
      </c>
    </row>
    <row r="281" spans="1:2" x14ac:dyDescent="0.2">
      <c r="A281" s="44" t="s">
        <v>665</v>
      </c>
      <c r="B281" s="73" t="s">
        <v>626</v>
      </c>
    </row>
    <row r="282" spans="1:2" x14ac:dyDescent="0.2">
      <c r="A282" s="44" t="s">
        <v>759</v>
      </c>
      <c r="B282" s="73" t="s">
        <v>626</v>
      </c>
    </row>
    <row r="283" spans="1:2" x14ac:dyDescent="0.2">
      <c r="A283" s="44" t="s">
        <v>663</v>
      </c>
      <c r="B283" s="73" t="s">
        <v>626</v>
      </c>
    </row>
    <row r="284" spans="1:2" x14ac:dyDescent="0.2">
      <c r="A284" s="44" t="s">
        <v>662</v>
      </c>
      <c r="B284" s="73" t="s">
        <v>626</v>
      </c>
    </row>
    <row r="285" spans="1:2" x14ac:dyDescent="0.2">
      <c r="A285" s="73" t="s">
        <v>357</v>
      </c>
      <c r="B285" s="73" t="s">
        <v>626</v>
      </c>
    </row>
    <row r="286" spans="1:2" x14ac:dyDescent="0.2">
      <c r="A286" s="73" t="s">
        <v>358</v>
      </c>
      <c r="B286" s="73" t="s">
        <v>626</v>
      </c>
    </row>
    <row r="287" spans="1:2" x14ac:dyDescent="0.2">
      <c r="A287" s="73" t="s">
        <v>352</v>
      </c>
      <c r="B287" s="73" t="s">
        <v>626</v>
      </c>
    </row>
    <row r="288" spans="1:2" x14ac:dyDescent="0.2">
      <c r="A288" s="73" t="s">
        <v>363</v>
      </c>
      <c r="B288" s="73" t="s">
        <v>626</v>
      </c>
    </row>
    <row r="289" spans="1:2" x14ac:dyDescent="0.2">
      <c r="A289" s="73" t="s">
        <v>364</v>
      </c>
      <c r="B289" s="73" t="s">
        <v>626</v>
      </c>
    </row>
    <row r="290" spans="1:2" x14ac:dyDescent="0.2">
      <c r="A290" s="73" t="s">
        <v>355</v>
      </c>
      <c r="B290" s="73" t="s">
        <v>626</v>
      </c>
    </row>
    <row r="291" spans="1:2" x14ac:dyDescent="0.2">
      <c r="A291" s="73" t="s">
        <v>356</v>
      </c>
      <c r="B291" s="73" t="s">
        <v>626</v>
      </c>
    </row>
    <row r="292" spans="1:2" x14ac:dyDescent="0.2">
      <c r="A292" s="44" t="s">
        <v>365</v>
      </c>
      <c r="B292" s="73" t="s">
        <v>626</v>
      </c>
    </row>
    <row r="293" spans="1:2" x14ac:dyDescent="0.2">
      <c r="A293" s="44" t="s">
        <v>366</v>
      </c>
      <c r="B293" s="73" t="s">
        <v>626</v>
      </c>
    </row>
    <row r="294" spans="1:2" x14ac:dyDescent="0.2">
      <c r="A294" s="44" t="s">
        <v>359</v>
      </c>
      <c r="B294" s="73" t="s">
        <v>626</v>
      </c>
    </row>
    <row r="295" spans="1:2" x14ac:dyDescent="0.2">
      <c r="A295" s="44" t="s">
        <v>360</v>
      </c>
      <c r="B295" s="73" t="s">
        <v>626</v>
      </c>
    </row>
    <row r="296" spans="1:2" x14ac:dyDescent="0.2">
      <c r="A296" s="44" t="s">
        <v>361</v>
      </c>
      <c r="B296" s="73" t="s">
        <v>626</v>
      </c>
    </row>
    <row r="297" spans="1:2" x14ac:dyDescent="0.2">
      <c r="A297" s="44" t="s">
        <v>362</v>
      </c>
      <c r="B297" s="73" t="s">
        <v>626</v>
      </c>
    </row>
    <row r="298" spans="1:2" x14ac:dyDescent="0.2">
      <c r="A298" s="44" t="s">
        <v>353</v>
      </c>
      <c r="B298" s="73" t="s">
        <v>626</v>
      </c>
    </row>
    <row r="299" spans="1:2" x14ac:dyDescent="0.2">
      <c r="A299" s="44" t="s">
        <v>354</v>
      </c>
      <c r="B299" s="73" t="s">
        <v>626</v>
      </c>
    </row>
    <row r="300" spans="1:2" x14ac:dyDescent="0.2">
      <c r="A300" s="44" t="s">
        <v>676</v>
      </c>
      <c r="B300" s="73" t="s">
        <v>626</v>
      </c>
    </row>
    <row r="301" spans="1:2" x14ac:dyDescent="0.2">
      <c r="A301" s="44" t="s">
        <v>675</v>
      </c>
      <c r="B301" s="73" t="s">
        <v>626</v>
      </c>
    </row>
    <row r="302" spans="1:2" x14ac:dyDescent="0.2">
      <c r="A302" s="44" t="s">
        <v>653</v>
      </c>
      <c r="B302" s="73" t="s">
        <v>626</v>
      </c>
    </row>
    <row r="303" spans="1:2" x14ac:dyDescent="0.2">
      <c r="A303" s="44" t="s">
        <v>565</v>
      </c>
      <c r="B303" s="73" t="s">
        <v>651</v>
      </c>
    </row>
    <row r="304" spans="1:2" x14ac:dyDescent="0.2">
      <c r="A304" s="44" t="s">
        <v>248</v>
      </c>
      <c r="B304" s="73" t="s">
        <v>651</v>
      </c>
    </row>
    <row r="305" spans="1:2" x14ac:dyDescent="0.2">
      <c r="A305" s="44" t="s">
        <v>365</v>
      </c>
      <c r="B305" s="73" t="s">
        <v>651</v>
      </c>
    </row>
    <row r="306" spans="1:2" x14ac:dyDescent="0.2">
      <c r="A306" s="44" t="s">
        <v>366</v>
      </c>
      <c r="B306" s="73" t="s">
        <v>651</v>
      </c>
    </row>
    <row r="307" spans="1:2" x14ac:dyDescent="0.2">
      <c r="A307" s="44" t="s">
        <v>377</v>
      </c>
      <c r="B307" s="73" t="s">
        <v>651</v>
      </c>
    </row>
    <row r="308" spans="1:2" x14ac:dyDescent="0.2">
      <c r="A308" s="44" t="s">
        <v>731</v>
      </c>
      <c r="B308" s="73" t="s">
        <v>651</v>
      </c>
    </row>
    <row r="309" spans="1:2" x14ac:dyDescent="0.2">
      <c r="A309" s="44" t="s">
        <v>740</v>
      </c>
      <c r="B309" s="73" t="s">
        <v>651</v>
      </c>
    </row>
    <row r="310" spans="1:2" x14ac:dyDescent="0.2">
      <c r="A310" s="44" t="s">
        <v>47</v>
      </c>
      <c r="B310" s="73" t="s">
        <v>651</v>
      </c>
    </row>
    <row r="311" spans="1:2" x14ac:dyDescent="0.2">
      <c r="A311" s="44" t="s">
        <v>177</v>
      </c>
      <c r="B311" s="73" t="s">
        <v>594</v>
      </c>
    </row>
    <row r="312" spans="1:2" x14ac:dyDescent="0.2">
      <c r="A312" s="44" t="s">
        <v>22</v>
      </c>
      <c r="B312" s="73" t="s">
        <v>594</v>
      </c>
    </row>
    <row r="313" spans="1:2" x14ac:dyDescent="0.2">
      <c r="A313" s="44" t="s">
        <v>10</v>
      </c>
      <c r="B313" s="73" t="s">
        <v>594</v>
      </c>
    </row>
    <row r="314" spans="1:2" x14ac:dyDescent="0.2">
      <c r="A314" s="44" t="s">
        <v>159</v>
      </c>
      <c r="B314" s="73" t="s">
        <v>594</v>
      </c>
    </row>
    <row r="315" spans="1:2" x14ac:dyDescent="0.2">
      <c r="A315" s="73" t="s">
        <v>169</v>
      </c>
      <c r="B315" s="73" t="s">
        <v>594</v>
      </c>
    </row>
    <row r="316" spans="1:2" x14ac:dyDescent="0.2">
      <c r="A316" s="73" t="s">
        <v>171</v>
      </c>
      <c r="B316" s="73" t="s">
        <v>594</v>
      </c>
    </row>
    <row r="317" spans="1:2" x14ac:dyDescent="0.2">
      <c r="A317" s="73" t="s">
        <v>173</v>
      </c>
      <c r="B317" s="73" t="s">
        <v>594</v>
      </c>
    </row>
    <row r="318" spans="1:2" x14ac:dyDescent="0.2">
      <c r="A318" s="73" t="s">
        <v>175</v>
      </c>
      <c r="B318" s="73" t="s">
        <v>594</v>
      </c>
    </row>
    <row r="319" spans="1:2" x14ac:dyDescent="0.2">
      <c r="A319" s="73" t="s">
        <v>168</v>
      </c>
      <c r="B319" s="73" t="s">
        <v>594</v>
      </c>
    </row>
    <row r="320" spans="1:2" x14ac:dyDescent="0.2">
      <c r="A320" s="44" t="s">
        <v>2</v>
      </c>
      <c r="B320" s="73" t="s">
        <v>594</v>
      </c>
    </row>
    <row r="321" spans="1:2" x14ac:dyDescent="0.2">
      <c r="A321" s="73" t="s">
        <v>237</v>
      </c>
      <c r="B321" s="73" t="s">
        <v>594</v>
      </c>
    </row>
    <row r="322" spans="1:2" x14ac:dyDescent="0.2">
      <c r="A322" s="44" t="s">
        <v>34</v>
      </c>
      <c r="B322" s="73" t="s">
        <v>594</v>
      </c>
    </row>
    <row r="323" spans="1:2" x14ac:dyDescent="0.2">
      <c r="A323" s="44" t="s">
        <v>22</v>
      </c>
      <c r="B323" s="73" t="s">
        <v>594</v>
      </c>
    </row>
    <row r="324" spans="1:2" x14ac:dyDescent="0.2">
      <c r="A324" s="73" t="s">
        <v>196</v>
      </c>
      <c r="B324" s="73" t="s">
        <v>594</v>
      </c>
    </row>
    <row r="325" spans="1:2" x14ac:dyDescent="0.2">
      <c r="A325" s="73" t="s">
        <v>209</v>
      </c>
      <c r="B325" s="73" t="s">
        <v>594</v>
      </c>
    </row>
    <row r="326" spans="1:2" x14ac:dyDescent="0.2">
      <c r="A326" s="73" t="s">
        <v>197</v>
      </c>
      <c r="B326" s="73" t="s">
        <v>594</v>
      </c>
    </row>
    <row r="327" spans="1:2" x14ac:dyDescent="0.2">
      <c r="A327" s="73" t="s">
        <v>17</v>
      </c>
      <c r="B327" s="73" t="s">
        <v>594</v>
      </c>
    </row>
    <row r="328" spans="1:2" x14ac:dyDescent="0.2">
      <c r="A328" s="73" t="s">
        <v>3</v>
      </c>
      <c r="B328" s="73" t="s">
        <v>594</v>
      </c>
    </row>
    <row r="329" spans="1:2" x14ac:dyDescent="0.2">
      <c r="A329" s="73" t="s">
        <v>170</v>
      </c>
      <c r="B329" s="73" t="s">
        <v>594</v>
      </c>
    </row>
    <row r="330" spans="1:2" x14ac:dyDescent="0.2">
      <c r="A330" s="73" t="s">
        <v>172</v>
      </c>
      <c r="B330" s="73" t="s">
        <v>594</v>
      </c>
    </row>
    <row r="331" spans="1:2" x14ac:dyDescent="0.2">
      <c r="A331" s="73" t="s">
        <v>174</v>
      </c>
      <c r="B331" s="73" t="s">
        <v>594</v>
      </c>
    </row>
    <row r="332" spans="1:2" x14ac:dyDescent="0.2">
      <c r="A332" s="73" t="s">
        <v>176</v>
      </c>
      <c r="B332" s="73" t="s">
        <v>594</v>
      </c>
    </row>
    <row r="333" spans="1:2" x14ac:dyDescent="0.2">
      <c r="A333" s="44" t="s">
        <v>180</v>
      </c>
      <c r="B333" s="73" t="s">
        <v>594</v>
      </c>
    </row>
    <row r="334" spans="1:2" x14ac:dyDescent="0.2">
      <c r="A334" s="73" t="s">
        <v>234</v>
      </c>
      <c r="B334" s="73" t="s">
        <v>594</v>
      </c>
    </row>
    <row r="335" spans="1:2" x14ac:dyDescent="0.2">
      <c r="A335" s="44" t="s">
        <v>159</v>
      </c>
      <c r="B335" s="73" t="s">
        <v>594</v>
      </c>
    </row>
    <row r="336" spans="1:2" x14ac:dyDescent="0.2">
      <c r="A336" s="73" t="s">
        <v>343</v>
      </c>
      <c r="B336" s="73" t="s">
        <v>594</v>
      </c>
    </row>
    <row r="337" spans="1:2" x14ac:dyDescent="0.2">
      <c r="A337" s="44" t="s">
        <v>205</v>
      </c>
      <c r="B337" s="73" t="s">
        <v>594</v>
      </c>
    </row>
    <row r="338" spans="1:2" x14ac:dyDescent="0.2">
      <c r="A338" s="44" t="s">
        <v>199</v>
      </c>
      <c r="B338" s="73" t="s">
        <v>594</v>
      </c>
    </row>
    <row r="339" spans="1:2" x14ac:dyDescent="0.2">
      <c r="A339" s="73" t="s">
        <v>185</v>
      </c>
      <c r="B339" s="73" t="s">
        <v>594</v>
      </c>
    </row>
    <row r="340" spans="1:2" x14ac:dyDescent="0.2">
      <c r="A340" s="44" t="s">
        <v>214</v>
      </c>
      <c r="B340" s="73" t="s">
        <v>594</v>
      </c>
    </row>
    <row r="341" spans="1:2" x14ac:dyDescent="0.2">
      <c r="A341" s="44" t="s">
        <v>238</v>
      </c>
      <c r="B341" s="73" t="s">
        <v>594</v>
      </c>
    </row>
    <row r="342" spans="1:2" x14ac:dyDescent="0.2">
      <c r="A342" s="73" t="s">
        <v>186</v>
      </c>
      <c r="B342" s="73" t="s">
        <v>594</v>
      </c>
    </row>
    <row r="343" spans="1:2" x14ac:dyDescent="0.2">
      <c r="A343" s="73" t="s">
        <v>166</v>
      </c>
      <c r="B343" s="73" t="s">
        <v>594</v>
      </c>
    </row>
    <row r="344" spans="1:2" x14ac:dyDescent="0.2">
      <c r="A344" s="73" t="s">
        <v>167</v>
      </c>
      <c r="B344" s="73" t="s">
        <v>594</v>
      </c>
    </row>
    <row r="345" spans="1:2" x14ac:dyDescent="0.2">
      <c r="A345" s="73" t="s">
        <v>161</v>
      </c>
      <c r="B345" s="73" t="s">
        <v>594</v>
      </c>
    </row>
    <row r="346" spans="1:2" x14ac:dyDescent="0.2">
      <c r="A346" s="73" t="s">
        <v>163</v>
      </c>
      <c r="B346" s="73" t="s">
        <v>594</v>
      </c>
    </row>
    <row r="347" spans="1:2" x14ac:dyDescent="0.2">
      <c r="A347" s="44" t="s">
        <v>749</v>
      </c>
      <c r="B347" s="73" t="s">
        <v>594</v>
      </c>
    </row>
    <row r="348" spans="1:2" x14ac:dyDescent="0.2">
      <c r="A348" s="44" t="s">
        <v>751</v>
      </c>
      <c r="B348" s="73" t="s">
        <v>594</v>
      </c>
    </row>
    <row r="349" spans="1:2" x14ac:dyDescent="0.2">
      <c r="A349" s="73" t="s">
        <v>750</v>
      </c>
      <c r="B349" s="73" t="s">
        <v>594</v>
      </c>
    </row>
    <row r="350" spans="1:2" x14ac:dyDescent="0.2">
      <c r="A350" s="73" t="s">
        <v>752</v>
      </c>
      <c r="B350" s="73" t="s">
        <v>594</v>
      </c>
    </row>
    <row r="351" spans="1:2" x14ac:dyDescent="0.2">
      <c r="A351" s="44" t="s">
        <v>17</v>
      </c>
      <c r="B351" s="44" t="s">
        <v>594</v>
      </c>
    </row>
    <row r="352" spans="1:2" x14ac:dyDescent="0.2">
      <c r="A352" s="44" t="s">
        <v>12</v>
      </c>
      <c r="B352" s="44" t="s">
        <v>594</v>
      </c>
    </row>
    <row r="353" spans="1:2" x14ac:dyDescent="0.2">
      <c r="A353" s="44" t="s">
        <v>3</v>
      </c>
      <c r="B353" s="44" t="s">
        <v>594</v>
      </c>
    </row>
    <row r="354" spans="1:2" x14ac:dyDescent="0.2">
      <c r="A354" s="44" t="s">
        <v>24</v>
      </c>
      <c r="B354" s="44" t="s">
        <v>594</v>
      </c>
    </row>
    <row r="355" spans="1:2" x14ac:dyDescent="0.2">
      <c r="A355" s="79" t="s">
        <v>31</v>
      </c>
      <c r="B355" s="44" t="s">
        <v>594</v>
      </c>
    </row>
    <row r="356" spans="1:2" x14ac:dyDescent="0.2">
      <c r="A356" s="44" t="s">
        <v>10</v>
      </c>
      <c r="B356" s="44" t="s">
        <v>594</v>
      </c>
    </row>
    <row r="357" spans="1:2" x14ac:dyDescent="0.2">
      <c r="A357" s="44" t="s">
        <v>0</v>
      </c>
      <c r="B357" s="44" t="s">
        <v>594</v>
      </c>
    </row>
    <row r="358" spans="1:2" x14ac:dyDescent="0.2">
      <c r="A358" s="44" t="s">
        <v>26</v>
      </c>
      <c r="B358" s="44" t="s">
        <v>594</v>
      </c>
    </row>
    <row r="359" spans="1:2" x14ac:dyDescent="0.2">
      <c r="A359" s="44" t="s">
        <v>8</v>
      </c>
      <c r="B359" s="44" t="s">
        <v>594</v>
      </c>
    </row>
    <row r="360" spans="1:2" x14ac:dyDescent="0.2">
      <c r="A360" s="44" t="s">
        <v>9</v>
      </c>
      <c r="B360" s="44" t="s">
        <v>594</v>
      </c>
    </row>
    <row r="361" spans="1:2" x14ac:dyDescent="0.2">
      <c r="A361" s="44" t="s">
        <v>6</v>
      </c>
      <c r="B361" s="44" t="s">
        <v>594</v>
      </c>
    </row>
    <row r="362" spans="1:2" x14ac:dyDescent="0.2">
      <c r="A362" s="44" t="s">
        <v>7</v>
      </c>
      <c r="B362" s="44" t="s">
        <v>594</v>
      </c>
    </row>
    <row r="363" spans="1:2" x14ac:dyDescent="0.2">
      <c r="A363" s="44" t="s">
        <v>2</v>
      </c>
      <c r="B363" s="44" t="s">
        <v>594</v>
      </c>
    </row>
    <row r="364" spans="1:2" x14ac:dyDescent="0.2">
      <c r="A364" s="44" t="s">
        <v>22</v>
      </c>
      <c r="B364" s="44" t="s">
        <v>594</v>
      </c>
    </row>
    <row r="365" spans="1:2" x14ac:dyDescent="0.2">
      <c r="A365" s="44" t="s">
        <v>30</v>
      </c>
      <c r="B365" s="44" t="s">
        <v>594</v>
      </c>
    </row>
    <row r="366" spans="1:2" x14ac:dyDescent="0.2">
      <c r="A366" s="44" t="s">
        <v>33</v>
      </c>
      <c r="B366" s="44" t="s">
        <v>594</v>
      </c>
    </row>
    <row r="367" spans="1:2" x14ac:dyDescent="0.2">
      <c r="A367" s="44" t="s">
        <v>23</v>
      </c>
      <c r="B367" s="44" t="s">
        <v>594</v>
      </c>
    </row>
    <row r="368" spans="1:2" x14ac:dyDescent="0.2">
      <c r="A368" s="44" t="s">
        <v>34</v>
      </c>
      <c r="B368" s="44" t="s">
        <v>594</v>
      </c>
    </row>
    <row r="369" spans="1:2" x14ac:dyDescent="0.2">
      <c r="A369" s="44" t="s">
        <v>514</v>
      </c>
      <c r="B369" s="44" t="s">
        <v>594</v>
      </c>
    </row>
    <row r="370" spans="1:2" x14ac:dyDescent="0.2">
      <c r="A370" s="44" t="s">
        <v>516</v>
      </c>
      <c r="B370" s="44" t="s">
        <v>594</v>
      </c>
    </row>
    <row r="371" spans="1:2" x14ac:dyDescent="0.2">
      <c r="A371" s="44" t="s">
        <v>166</v>
      </c>
      <c r="B371" s="44" t="s">
        <v>594</v>
      </c>
    </row>
    <row r="372" spans="1:2" x14ac:dyDescent="0.2">
      <c r="A372" s="44" t="s">
        <v>347</v>
      </c>
      <c r="B372" s="44" t="s">
        <v>594</v>
      </c>
    </row>
    <row r="373" spans="1:2" x14ac:dyDescent="0.2">
      <c r="A373" s="44" t="s">
        <v>526</v>
      </c>
      <c r="B373" s="44" t="s">
        <v>594</v>
      </c>
    </row>
    <row r="374" spans="1:2" x14ac:dyDescent="0.2">
      <c r="A374" s="44" t="s">
        <v>529</v>
      </c>
      <c r="B374" s="44" t="s">
        <v>594</v>
      </c>
    </row>
    <row r="375" spans="1:2" x14ac:dyDescent="0.2">
      <c r="A375" s="44" t="s">
        <v>539</v>
      </c>
      <c r="B375" s="44" t="s">
        <v>594</v>
      </c>
    </row>
    <row r="376" spans="1:2" x14ac:dyDescent="0.2">
      <c r="A376" s="44" t="s">
        <v>542</v>
      </c>
      <c r="B376" s="44" t="s">
        <v>594</v>
      </c>
    </row>
    <row r="377" spans="1:2" x14ac:dyDescent="0.2">
      <c r="A377" s="44" t="s">
        <v>255</v>
      </c>
      <c r="B377" s="44" t="s">
        <v>594</v>
      </c>
    </row>
    <row r="378" spans="1:2" x14ac:dyDescent="0.2">
      <c r="A378" s="44" t="s">
        <v>351</v>
      </c>
      <c r="B378" s="44" t="s">
        <v>594</v>
      </c>
    </row>
    <row r="379" spans="1:2" x14ac:dyDescent="0.2">
      <c r="A379" s="44" t="s">
        <v>532</v>
      </c>
      <c r="B379" s="44" t="s">
        <v>594</v>
      </c>
    </row>
    <row r="380" spans="1:2" x14ac:dyDescent="0.2">
      <c r="A380" s="44" t="s">
        <v>533</v>
      </c>
      <c r="B380" s="44" t="s">
        <v>594</v>
      </c>
    </row>
    <row r="381" spans="1:2" x14ac:dyDescent="0.2">
      <c r="A381" s="44" t="s">
        <v>534</v>
      </c>
      <c r="B381" s="44" t="s">
        <v>594</v>
      </c>
    </row>
    <row r="382" spans="1:2" x14ac:dyDescent="0.2">
      <c r="A382" s="44" t="s">
        <v>535</v>
      </c>
      <c r="B382" s="44" t="s">
        <v>594</v>
      </c>
    </row>
    <row r="383" spans="1:2" x14ac:dyDescent="0.2">
      <c r="A383" s="44" t="s">
        <v>536</v>
      </c>
      <c r="B383" s="44" t="s">
        <v>594</v>
      </c>
    </row>
    <row r="384" spans="1:2" x14ac:dyDescent="0.2">
      <c r="A384" s="44" t="s">
        <v>32</v>
      </c>
      <c r="B384" s="44" t="s">
        <v>594</v>
      </c>
    </row>
    <row r="385" spans="1:2" x14ac:dyDescent="0.2">
      <c r="A385" s="44" t="s">
        <v>63</v>
      </c>
      <c r="B385" s="44" t="s">
        <v>594</v>
      </c>
    </row>
    <row r="386" spans="1:2" x14ac:dyDescent="0.2">
      <c r="A386" s="44" t="s">
        <v>57</v>
      </c>
      <c r="B386" s="44" t="s">
        <v>594</v>
      </c>
    </row>
    <row r="387" spans="1:2" x14ac:dyDescent="0.2">
      <c r="A387" s="44" t="s">
        <v>111</v>
      </c>
      <c r="B387" s="44" t="s">
        <v>594</v>
      </c>
    </row>
    <row r="388" spans="1:2" x14ac:dyDescent="0.2">
      <c r="A388" s="73" t="s">
        <v>83</v>
      </c>
      <c r="B388" s="44" t="s">
        <v>594</v>
      </c>
    </row>
    <row r="389" spans="1:2" x14ac:dyDescent="0.2">
      <c r="A389" s="73" t="s">
        <v>248</v>
      </c>
      <c r="B389" s="73" t="s">
        <v>626</v>
      </c>
    </row>
    <row r="390" spans="1:2" x14ac:dyDescent="0.2">
      <c r="A390" s="44" t="s">
        <v>872</v>
      </c>
      <c r="B390" s="73" t="s">
        <v>651</v>
      </c>
    </row>
    <row r="391" spans="1:2" x14ac:dyDescent="0.2">
      <c r="A391" s="44" t="s">
        <v>871</v>
      </c>
      <c r="B391" s="73" t="s">
        <v>651</v>
      </c>
    </row>
    <row r="392" spans="1:2" x14ac:dyDescent="0.2">
      <c r="A392" s="44" t="s">
        <v>876</v>
      </c>
      <c r="B392" s="73" t="s">
        <v>651</v>
      </c>
    </row>
    <row r="393" spans="1:2" x14ac:dyDescent="0.2">
      <c r="A393" s="44" t="s">
        <v>875</v>
      </c>
      <c r="B393" s="73" t="s">
        <v>651</v>
      </c>
    </row>
    <row r="394" spans="1:2" x14ac:dyDescent="0.2">
      <c r="A394" s="44" t="s">
        <v>336</v>
      </c>
      <c r="B394" s="73" t="s">
        <v>594</v>
      </c>
    </row>
    <row r="395" spans="1:2" x14ac:dyDescent="0.2">
      <c r="A395" s="73" t="s">
        <v>594</v>
      </c>
      <c r="B395" s="73" t="s">
        <v>884</v>
      </c>
    </row>
    <row r="396" spans="1:2" x14ac:dyDescent="0.2">
      <c r="A396" s="73" t="s">
        <v>594</v>
      </c>
      <c r="B396" s="73" t="s">
        <v>884</v>
      </c>
    </row>
    <row r="397" spans="1:2" x14ac:dyDescent="0.2">
      <c r="A397" s="73" t="s">
        <v>594</v>
      </c>
      <c r="B397" s="73" t="s">
        <v>884</v>
      </c>
    </row>
    <row r="398" spans="1:2" x14ac:dyDescent="0.2">
      <c r="A398" s="73" t="s">
        <v>594</v>
      </c>
      <c r="B398" s="73" t="s">
        <v>884</v>
      </c>
    </row>
    <row r="399" spans="1:2" x14ac:dyDescent="0.2">
      <c r="A399" s="73" t="s">
        <v>594</v>
      </c>
      <c r="B399" s="73" t="s">
        <v>884</v>
      </c>
    </row>
    <row r="400" spans="1:2" x14ac:dyDescent="0.2">
      <c r="A400" s="73" t="s">
        <v>594</v>
      </c>
      <c r="B400" s="73" t="s">
        <v>884</v>
      </c>
    </row>
    <row r="401" spans="1:2" x14ac:dyDescent="0.2">
      <c r="A401" s="73" t="s">
        <v>594</v>
      </c>
      <c r="B401" s="73" t="s">
        <v>884</v>
      </c>
    </row>
    <row r="402" spans="1:2" x14ac:dyDescent="0.2">
      <c r="A402" s="73" t="s">
        <v>594</v>
      </c>
      <c r="B402" s="73" t="s">
        <v>884</v>
      </c>
    </row>
    <row r="403" spans="1:2" x14ac:dyDescent="0.2">
      <c r="A403" s="73" t="s">
        <v>594</v>
      </c>
      <c r="B403" s="73" t="s">
        <v>884</v>
      </c>
    </row>
    <row r="404" spans="1:2" x14ac:dyDescent="0.2">
      <c r="A404" s="73" t="s">
        <v>594</v>
      </c>
      <c r="B404" s="73" t="s">
        <v>884</v>
      </c>
    </row>
    <row r="405" spans="1:2" x14ac:dyDescent="0.2">
      <c r="A405" s="73" t="s">
        <v>594</v>
      </c>
      <c r="B405" s="73" t="s">
        <v>884</v>
      </c>
    </row>
    <row r="406" spans="1:2" x14ac:dyDescent="0.2">
      <c r="A406" s="73" t="s">
        <v>594</v>
      </c>
      <c r="B406" s="73" t="s">
        <v>884</v>
      </c>
    </row>
    <row r="407" spans="1:2" x14ac:dyDescent="0.2">
      <c r="A407" s="73" t="s">
        <v>594</v>
      </c>
      <c r="B407" s="73" t="s">
        <v>884</v>
      </c>
    </row>
    <row r="408" spans="1:2" x14ac:dyDescent="0.2">
      <c r="A408" s="73" t="s">
        <v>594</v>
      </c>
      <c r="B408" s="73" t="s">
        <v>884</v>
      </c>
    </row>
    <row r="409" spans="1:2" x14ac:dyDescent="0.2">
      <c r="A409" s="73" t="s">
        <v>626</v>
      </c>
      <c r="B409" s="44" t="s">
        <v>754</v>
      </c>
    </row>
    <row r="410" spans="1:2" x14ac:dyDescent="0.2">
      <c r="A410" s="73" t="s">
        <v>626</v>
      </c>
      <c r="B410" s="44" t="s">
        <v>754</v>
      </c>
    </row>
    <row r="411" spans="1:2" x14ac:dyDescent="0.2">
      <c r="A411" s="73" t="s">
        <v>626</v>
      </c>
      <c r="B411" s="44" t="s">
        <v>754</v>
      </c>
    </row>
    <row r="412" spans="1:2" x14ac:dyDescent="0.2">
      <c r="A412" s="73" t="s">
        <v>626</v>
      </c>
      <c r="B412" s="44" t="s">
        <v>754</v>
      </c>
    </row>
    <row r="413" spans="1:2" x14ac:dyDescent="0.2">
      <c r="A413" s="73" t="s">
        <v>626</v>
      </c>
      <c r="B413" s="44" t="s">
        <v>754</v>
      </c>
    </row>
    <row r="414" spans="1:2" x14ac:dyDescent="0.2">
      <c r="A414" s="73" t="s">
        <v>626</v>
      </c>
      <c r="B414" s="44" t="s">
        <v>754</v>
      </c>
    </row>
    <row r="415" spans="1:2" x14ac:dyDescent="0.2">
      <c r="A415" s="73" t="s">
        <v>626</v>
      </c>
      <c r="B415" s="44" t="s">
        <v>754</v>
      </c>
    </row>
    <row r="416" spans="1:2" x14ac:dyDescent="0.2">
      <c r="A416" s="73" t="s">
        <v>626</v>
      </c>
      <c r="B416" s="73" t="s">
        <v>670</v>
      </c>
    </row>
    <row r="417" spans="1:2" x14ac:dyDescent="0.2">
      <c r="A417" s="73" t="s">
        <v>626</v>
      </c>
      <c r="B417" s="73" t="s">
        <v>670</v>
      </c>
    </row>
    <row r="418" spans="1:2" x14ac:dyDescent="0.2">
      <c r="A418" s="73" t="s">
        <v>626</v>
      </c>
      <c r="B418" s="73" t="s">
        <v>670</v>
      </c>
    </row>
    <row r="419" spans="1:2" x14ac:dyDescent="0.2">
      <c r="A419" s="73" t="s">
        <v>626</v>
      </c>
      <c r="B419" s="73" t="s">
        <v>670</v>
      </c>
    </row>
    <row r="420" spans="1:2" x14ac:dyDescent="0.2">
      <c r="A420" s="73" t="s">
        <v>626</v>
      </c>
      <c r="B420" s="73" t="s">
        <v>670</v>
      </c>
    </row>
    <row r="421" spans="1:2" x14ac:dyDescent="0.2">
      <c r="A421" s="73" t="s">
        <v>626</v>
      </c>
      <c r="B421" s="73" t="s">
        <v>670</v>
      </c>
    </row>
    <row r="422" spans="1:2" x14ac:dyDescent="0.2">
      <c r="A422" s="73" t="s">
        <v>626</v>
      </c>
      <c r="B422" s="73" t="s">
        <v>670</v>
      </c>
    </row>
    <row r="423" spans="1:2" x14ac:dyDescent="0.2">
      <c r="A423" s="73" t="s">
        <v>626</v>
      </c>
      <c r="B423" s="73" t="s">
        <v>670</v>
      </c>
    </row>
    <row r="424" spans="1:2" x14ac:dyDescent="0.2">
      <c r="A424" s="73" t="s">
        <v>626</v>
      </c>
      <c r="B424" s="73" t="s">
        <v>670</v>
      </c>
    </row>
    <row r="425" spans="1:2" x14ac:dyDescent="0.2">
      <c r="A425" s="73" t="s">
        <v>626</v>
      </c>
      <c r="B425" s="73" t="s">
        <v>670</v>
      </c>
    </row>
    <row r="426" spans="1:2" x14ac:dyDescent="0.2">
      <c r="A426" s="73" t="s">
        <v>626</v>
      </c>
      <c r="B426" s="73" t="s">
        <v>670</v>
      </c>
    </row>
    <row r="427" spans="1:2" x14ac:dyDescent="0.2">
      <c r="A427" s="73" t="s">
        <v>626</v>
      </c>
      <c r="B427" s="73" t="s">
        <v>670</v>
      </c>
    </row>
    <row r="428" spans="1:2" x14ac:dyDescent="0.2">
      <c r="A428" s="73" t="s">
        <v>626</v>
      </c>
      <c r="B428" s="73" t="s">
        <v>670</v>
      </c>
    </row>
    <row r="429" spans="1:2" x14ac:dyDescent="0.2">
      <c r="A429" s="73" t="s">
        <v>626</v>
      </c>
      <c r="B429" s="73" t="s">
        <v>670</v>
      </c>
    </row>
    <row r="430" spans="1:2" x14ac:dyDescent="0.2">
      <c r="A430" s="73" t="s">
        <v>626</v>
      </c>
      <c r="B430" s="73" t="s">
        <v>670</v>
      </c>
    </row>
    <row r="431" spans="1:2" x14ac:dyDescent="0.2">
      <c r="A431" s="73" t="s">
        <v>626</v>
      </c>
      <c r="B431" s="73" t="s">
        <v>670</v>
      </c>
    </row>
    <row r="432" spans="1:2" x14ac:dyDescent="0.2">
      <c r="A432" s="73" t="s">
        <v>626</v>
      </c>
      <c r="B432" s="73" t="s">
        <v>670</v>
      </c>
    </row>
    <row r="433" spans="1:2" x14ac:dyDescent="0.2">
      <c r="A433" s="73" t="s">
        <v>626</v>
      </c>
      <c r="B433" s="73" t="s">
        <v>670</v>
      </c>
    </row>
    <row r="434" spans="1:2" x14ac:dyDescent="0.2">
      <c r="A434" s="73" t="s">
        <v>651</v>
      </c>
      <c r="B434" s="73" t="s">
        <v>748</v>
      </c>
    </row>
    <row r="435" spans="1:2" x14ac:dyDescent="0.2">
      <c r="A435" s="73" t="s">
        <v>651</v>
      </c>
      <c r="B435" s="73" t="s">
        <v>748</v>
      </c>
    </row>
    <row r="436" spans="1:2" x14ac:dyDescent="0.2">
      <c r="A436" s="73" t="s">
        <v>651</v>
      </c>
      <c r="B436" s="73" t="s">
        <v>748</v>
      </c>
    </row>
    <row r="437" spans="1:2" x14ac:dyDescent="0.2">
      <c r="A437" s="73" t="s">
        <v>651</v>
      </c>
      <c r="B437" s="73" t="s">
        <v>748</v>
      </c>
    </row>
    <row r="438" spans="1:2" x14ac:dyDescent="0.2">
      <c r="A438" s="73" t="s">
        <v>651</v>
      </c>
      <c r="B438" s="73" t="s">
        <v>748</v>
      </c>
    </row>
    <row r="439" spans="1:2" x14ac:dyDescent="0.2">
      <c r="A439" s="73" t="s">
        <v>651</v>
      </c>
      <c r="B439" s="73" t="s">
        <v>748</v>
      </c>
    </row>
    <row r="440" spans="1:2" x14ac:dyDescent="0.2">
      <c r="A440" s="73" t="s">
        <v>651</v>
      </c>
      <c r="B440" s="73" t="s">
        <v>748</v>
      </c>
    </row>
    <row r="441" spans="1:2" x14ac:dyDescent="0.2">
      <c r="A441" s="73" t="s">
        <v>651</v>
      </c>
      <c r="B441" s="73" t="s">
        <v>748</v>
      </c>
    </row>
    <row r="442" spans="1:2" x14ac:dyDescent="0.2">
      <c r="A442" s="73" t="s">
        <v>594</v>
      </c>
      <c r="B442" s="73" t="s">
        <v>650</v>
      </c>
    </row>
    <row r="443" spans="1:2" x14ac:dyDescent="0.2">
      <c r="A443" s="73" t="s">
        <v>594</v>
      </c>
      <c r="B443" s="73" t="s">
        <v>650</v>
      </c>
    </row>
    <row r="444" spans="1:2" x14ac:dyDescent="0.2">
      <c r="A444" s="73" t="s">
        <v>594</v>
      </c>
      <c r="B444" s="73" t="s">
        <v>650</v>
      </c>
    </row>
    <row r="445" spans="1:2" x14ac:dyDescent="0.2">
      <c r="A445" s="73" t="s">
        <v>594</v>
      </c>
      <c r="B445" s="73" t="s">
        <v>650</v>
      </c>
    </row>
    <row r="446" spans="1:2" x14ac:dyDescent="0.2">
      <c r="A446" s="73" t="s">
        <v>594</v>
      </c>
      <c r="B446" s="73" t="s">
        <v>650</v>
      </c>
    </row>
    <row r="447" spans="1:2" x14ac:dyDescent="0.2">
      <c r="A447" s="73" t="s">
        <v>594</v>
      </c>
      <c r="B447" s="73" t="s">
        <v>650</v>
      </c>
    </row>
    <row r="448" spans="1:2" x14ac:dyDescent="0.2">
      <c r="A448" s="73" t="s">
        <v>594</v>
      </c>
      <c r="B448" s="73" t="s">
        <v>650</v>
      </c>
    </row>
    <row r="449" spans="1:2" x14ac:dyDescent="0.2">
      <c r="A449" s="73" t="s">
        <v>594</v>
      </c>
      <c r="B449" s="73" t="s">
        <v>650</v>
      </c>
    </row>
    <row r="450" spans="1:2" x14ac:dyDescent="0.2">
      <c r="A450" s="73" t="s">
        <v>594</v>
      </c>
      <c r="B450" s="73" t="s">
        <v>650</v>
      </c>
    </row>
    <row r="451" spans="1:2" x14ac:dyDescent="0.2">
      <c r="A451" s="73" t="s">
        <v>594</v>
      </c>
      <c r="B451" s="73" t="s">
        <v>650</v>
      </c>
    </row>
    <row r="452" spans="1:2" x14ac:dyDescent="0.2">
      <c r="A452" s="73" t="s">
        <v>594</v>
      </c>
      <c r="B452" s="73" t="s">
        <v>650</v>
      </c>
    </row>
    <row r="453" spans="1:2" x14ac:dyDescent="0.2">
      <c r="A453" s="73" t="s">
        <v>594</v>
      </c>
      <c r="B453" s="73" t="s">
        <v>650</v>
      </c>
    </row>
    <row r="454" spans="1:2" x14ac:dyDescent="0.2">
      <c r="A454" s="73" t="s">
        <v>594</v>
      </c>
      <c r="B454" s="73" t="s">
        <v>650</v>
      </c>
    </row>
    <row r="455" spans="1:2" x14ac:dyDescent="0.2">
      <c r="A455" s="73" t="s">
        <v>594</v>
      </c>
      <c r="B455" s="73" t="s">
        <v>650</v>
      </c>
    </row>
    <row r="456" spans="1:2" x14ac:dyDescent="0.2">
      <c r="A456" s="73" t="s">
        <v>594</v>
      </c>
      <c r="B456" s="73" t="s">
        <v>650</v>
      </c>
    </row>
    <row r="457" spans="1:2" x14ac:dyDescent="0.2">
      <c r="A457" s="73" t="s">
        <v>594</v>
      </c>
      <c r="B457" s="73" t="s">
        <v>650</v>
      </c>
    </row>
    <row r="458" spans="1:2" x14ac:dyDescent="0.2">
      <c r="A458" s="73" t="s">
        <v>594</v>
      </c>
      <c r="B458" s="73" t="s">
        <v>650</v>
      </c>
    </row>
    <row r="459" spans="1:2" x14ac:dyDescent="0.2">
      <c r="A459" s="73" t="s">
        <v>594</v>
      </c>
      <c r="B459" s="73" t="s">
        <v>650</v>
      </c>
    </row>
    <row r="460" spans="1:2" x14ac:dyDescent="0.2">
      <c r="A460" s="73" t="s">
        <v>594</v>
      </c>
      <c r="B460" s="73" t="s">
        <v>650</v>
      </c>
    </row>
    <row r="461" spans="1:2" x14ac:dyDescent="0.2">
      <c r="A461" s="73" t="s">
        <v>594</v>
      </c>
      <c r="B461" s="73" t="s">
        <v>650</v>
      </c>
    </row>
    <row r="462" spans="1:2" x14ac:dyDescent="0.2">
      <c r="A462" s="73" t="s">
        <v>594</v>
      </c>
      <c r="B462" s="73" t="s">
        <v>650</v>
      </c>
    </row>
    <row r="463" spans="1:2" x14ac:dyDescent="0.2">
      <c r="A463" s="73" t="s">
        <v>594</v>
      </c>
      <c r="B463" s="73" t="s">
        <v>650</v>
      </c>
    </row>
    <row r="464" spans="1:2" x14ac:dyDescent="0.2">
      <c r="A464" s="73" t="s">
        <v>594</v>
      </c>
      <c r="B464" s="73" t="s">
        <v>650</v>
      </c>
    </row>
    <row r="465" spans="1:2" x14ac:dyDescent="0.2">
      <c r="A465" s="73" t="s">
        <v>594</v>
      </c>
      <c r="B465" s="73" t="s">
        <v>650</v>
      </c>
    </row>
    <row r="466" spans="1:2" x14ac:dyDescent="0.2">
      <c r="A466" s="73" t="s">
        <v>594</v>
      </c>
      <c r="B466" s="73" t="s">
        <v>650</v>
      </c>
    </row>
    <row r="467" spans="1:2" x14ac:dyDescent="0.2">
      <c r="A467" s="73" t="s">
        <v>594</v>
      </c>
      <c r="B467" s="73" t="s">
        <v>650</v>
      </c>
    </row>
    <row r="468" spans="1:2" x14ac:dyDescent="0.2">
      <c r="A468" s="73" t="s">
        <v>594</v>
      </c>
      <c r="B468" s="73" t="s">
        <v>650</v>
      </c>
    </row>
    <row r="469" spans="1:2" x14ac:dyDescent="0.2">
      <c r="A469" s="73" t="s">
        <v>594</v>
      </c>
      <c r="B469" s="73" t="s">
        <v>650</v>
      </c>
    </row>
    <row r="470" spans="1:2" x14ac:dyDescent="0.2">
      <c r="A470" s="73" t="s">
        <v>594</v>
      </c>
      <c r="B470" s="73" t="s">
        <v>650</v>
      </c>
    </row>
    <row r="471" spans="1:2" x14ac:dyDescent="0.2">
      <c r="A471" s="73" t="s">
        <v>594</v>
      </c>
      <c r="B471" s="73" t="s">
        <v>650</v>
      </c>
    </row>
    <row r="472" spans="1:2" x14ac:dyDescent="0.2">
      <c r="A472" s="73" t="s">
        <v>594</v>
      </c>
      <c r="B472" s="73" t="s">
        <v>650</v>
      </c>
    </row>
    <row r="473" spans="1:2" x14ac:dyDescent="0.2">
      <c r="A473" s="73" t="s">
        <v>594</v>
      </c>
      <c r="B473" s="73" t="s">
        <v>650</v>
      </c>
    </row>
    <row r="474" spans="1:2" x14ac:dyDescent="0.2">
      <c r="A474" s="73" t="s">
        <v>594</v>
      </c>
      <c r="B474" s="73" t="s">
        <v>650</v>
      </c>
    </row>
    <row r="475" spans="1:2" x14ac:dyDescent="0.2">
      <c r="A475" s="73" t="s">
        <v>594</v>
      </c>
      <c r="B475" s="73" t="s">
        <v>650</v>
      </c>
    </row>
    <row r="476" spans="1:2" x14ac:dyDescent="0.2">
      <c r="A476" s="73" t="s">
        <v>594</v>
      </c>
      <c r="B476" s="73" t="s">
        <v>650</v>
      </c>
    </row>
    <row r="477" spans="1:2" x14ac:dyDescent="0.2">
      <c r="A477" s="73" t="s">
        <v>594</v>
      </c>
      <c r="B477" s="73" t="s">
        <v>650</v>
      </c>
    </row>
    <row r="478" spans="1:2" x14ac:dyDescent="0.2">
      <c r="A478" s="73" t="s">
        <v>594</v>
      </c>
      <c r="B478" s="73" t="s">
        <v>650</v>
      </c>
    </row>
    <row r="479" spans="1:2" x14ac:dyDescent="0.2">
      <c r="A479" s="73" t="s">
        <v>594</v>
      </c>
      <c r="B479" s="73" t="s">
        <v>650</v>
      </c>
    </row>
    <row r="480" spans="1:2" x14ac:dyDescent="0.2">
      <c r="A480" s="73" t="s">
        <v>594</v>
      </c>
      <c r="B480" s="73" t="s">
        <v>650</v>
      </c>
    </row>
    <row r="481" spans="1:2" x14ac:dyDescent="0.2">
      <c r="A481" s="73" t="s">
        <v>594</v>
      </c>
      <c r="B481" s="73" t="s">
        <v>650</v>
      </c>
    </row>
    <row r="482" spans="1:2" x14ac:dyDescent="0.2">
      <c r="A482" s="44" t="s">
        <v>594</v>
      </c>
      <c r="B482" s="44" t="s">
        <v>37</v>
      </c>
    </row>
    <row r="483" spans="1:2" x14ac:dyDescent="0.2">
      <c r="A483" s="44" t="s">
        <v>594</v>
      </c>
      <c r="B483" s="44" t="s">
        <v>37</v>
      </c>
    </row>
    <row r="484" spans="1:2" x14ac:dyDescent="0.2">
      <c r="A484" s="44" t="s">
        <v>594</v>
      </c>
      <c r="B484" s="44" t="s">
        <v>37</v>
      </c>
    </row>
    <row r="485" spans="1:2" x14ac:dyDescent="0.2">
      <c r="A485" s="44" t="s">
        <v>594</v>
      </c>
      <c r="B485" s="44" t="s">
        <v>37</v>
      </c>
    </row>
    <row r="486" spans="1:2" x14ac:dyDescent="0.2">
      <c r="A486" s="44" t="s">
        <v>594</v>
      </c>
      <c r="B486" s="44" t="s">
        <v>37</v>
      </c>
    </row>
    <row r="487" spans="1:2" x14ac:dyDescent="0.2">
      <c r="A487" s="44" t="s">
        <v>594</v>
      </c>
      <c r="B487" s="44" t="s">
        <v>37</v>
      </c>
    </row>
    <row r="488" spans="1:2" x14ac:dyDescent="0.2">
      <c r="A488" s="44" t="s">
        <v>594</v>
      </c>
      <c r="B488" s="44" t="s">
        <v>37</v>
      </c>
    </row>
    <row r="489" spans="1:2" x14ac:dyDescent="0.2">
      <c r="A489" s="44" t="s">
        <v>594</v>
      </c>
      <c r="B489" s="44" t="s">
        <v>37</v>
      </c>
    </row>
    <row r="490" spans="1:2" x14ac:dyDescent="0.2">
      <c r="A490" s="44" t="s">
        <v>594</v>
      </c>
      <c r="B490" s="44" t="s">
        <v>37</v>
      </c>
    </row>
    <row r="491" spans="1:2" x14ac:dyDescent="0.2">
      <c r="A491" s="44" t="s">
        <v>594</v>
      </c>
      <c r="B491" s="44" t="s">
        <v>37</v>
      </c>
    </row>
    <row r="492" spans="1:2" x14ac:dyDescent="0.2">
      <c r="A492" s="44" t="s">
        <v>594</v>
      </c>
      <c r="B492" s="44" t="s">
        <v>37</v>
      </c>
    </row>
    <row r="493" spans="1:2" x14ac:dyDescent="0.2">
      <c r="A493" s="44" t="s">
        <v>594</v>
      </c>
      <c r="B493" s="44" t="s">
        <v>37</v>
      </c>
    </row>
    <row r="494" spans="1:2" x14ac:dyDescent="0.2">
      <c r="A494" s="44" t="s">
        <v>594</v>
      </c>
      <c r="B494" s="44" t="s">
        <v>37</v>
      </c>
    </row>
    <row r="495" spans="1:2" x14ac:dyDescent="0.2">
      <c r="A495" s="44" t="s">
        <v>594</v>
      </c>
      <c r="B495" s="44" t="s">
        <v>37</v>
      </c>
    </row>
    <row r="496" spans="1:2" x14ac:dyDescent="0.2">
      <c r="A496" s="44" t="s">
        <v>594</v>
      </c>
      <c r="B496" s="44" t="s">
        <v>37</v>
      </c>
    </row>
    <row r="497" spans="1:2" x14ac:dyDescent="0.2">
      <c r="A497" s="44" t="s">
        <v>594</v>
      </c>
      <c r="B497" s="44" t="s">
        <v>37</v>
      </c>
    </row>
    <row r="498" spans="1:2" x14ac:dyDescent="0.2">
      <c r="A498" s="44" t="s">
        <v>594</v>
      </c>
      <c r="B498" s="44" t="s">
        <v>37</v>
      </c>
    </row>
    <row r="499" spans="1:2" x14ac:dyDescent="0.2">
      <c r="A499" s="44" t="s">
        <v>594</v>
      </c>
      <c r="B499" s="44" t="s">
        <v>37</v>
      </c>
    </row>
    <row r="500" spans="1:2" x14ac:dyDescent="0.2">
      <c r="A500" s="44" t="s">
        <v>594</v>
      </c>
      <c r="B500" s="73" t="s">
        <v>757</v>
      </c>
    </row>
    <row r="501" spans="1:2" x14ac:dyDescent="0.2">
      <c r="A501" s="44" t="s">
        <v>594</v>
      </c>
      <c r="B501" s="73" t="s">
        <v>757</v>
      </c>
    </row>
    <row r="502" spans="1:2" x14ac:dyDescent="0.2">
      <c r="A502" s="44" t="s">
        <v>594</v>
      </c>
      <c r="B502" s="73" t="s">
        <v>757</v>
      </c>
    </row>
    <row r="503" spans="1:2" x14ac:dyDescent="0.2">
      <c r="A503" s="44" t="s">
        <v>594</v>
      </c>
      <c r="B503" s="73" t="s">
        <v>757</v>
      </c>
    </row>
    <row r="504" spans="1:2" x14ac:dyDescent="0.2">
      <c r="A504" s="44" t="s">
        <v>594</v>
      </c>
      <c r="B504" s="73" t="s">
        <v>757</v>
      </c>
    </row>
    <row r="505" spans="1:2" x14ac:dyDescent="0.2">
      <c r="A505" s="44" t="s">
        <v>594</v>
      </c>
      <c r="B505" s="73" t="s">
        <v>757</v>
      </c>
    </row>
    <row r="506" spans="1:2" x14ac:dyDescent="0.2">
      <c r="A506" s="44" t="s">
        <v>594</v>
      </c>
      <c r="B506" s="73" t="s">
        <v>757</v>
      </c>
    </row>
    <row r="507" spans="1:2" x14ac:dyDescent="0.2">
      <c r="A507" s="44" t="s">
        <v>594</v>
      </c>
      <c r="B507" s="73" t="s">
        <v>757</v>
      </c>
    </row>
    <row r="508" spans="1:2" x14ac:dyDescent="0.2">
      <c r="A508" s="44" t="s">
        <v>594</v>
      </c>
      <c r="B508" s="73" t="s">
        <v>757</v>
      </c>
    </row>
    <row r="509" spans="1:2" x14ac:dyDescent="0.2">
      <c r="A509" s="44" t="s">
        <v>594</v>
      </c>
      <c r="B509" s="73" t="s">
        <v>757</v>
      </c>
    </row>
    <row r="510" spans="1:2" x14ac:dyDescent="0.2">
      <c r="A510" s="44" t="s">
        <v>594</v>
      </c>
      <c r="B510" s="73" t="s">
        <v>757</v>
      </c>
    </row>
    <row r="511" spans="1:2" x14ac:dyDescent="0.2">
      <c r="A511" s="44" t="s">
        <v>594</v>
      </c>
      <c r="B511" s="73" t="s">
        <v>757</v>
      </c>
    </row>
    <row r="512" spans="1:2" x14ac:dyDescent="0.2">
      <c r="A512" s="44" t="s">
        <v>594</v>
      </c>
      <c r="B512" s="73" t="s">
        <v>757</v>
      </c>
    </row>
    <row r="513" spans="1:2" x14ac:dyDescent="0.2">
      <c r="A513" s="44" t="s">
        <v>594</v>
      </c>
      <c r="B513" s="73" t="s">
        <v>757</v>
      </c>
    </row>
    <row r="514" spans="1:2" x14ac:dyDescent="0.2">
      <c r="A514" s="44" t="s">
        <v>594</v>
      </c>
      <c r="B514" s="73" t="s">
        <v>757</v>
      </c>
    </row>
    <row r="515" spans="1:2" x14ac:dyDescent="0.2">
      <c r="A515" s="44" t="s">
        <v>594</v>
      </c>
      <c r="B515" s="44" t="s">
        <v>37</v>
      </c>
    </row>
    <row r="516" spans="1:2" x14ac:dyDescent="0.2">
      <c r="A516" s="44" t="s">
        <v>594</v>
      </c>
      <c r="B516" s="73" t="s">
        <v>758</v>
      </c>
    </row>
    <row r="517" spans="1:2" x14ac:dyDescent="0.2">
      <c r="A517" s="44" t="s">
        <v>594</v>
      </c>
      <c r="B517" s="73" t="s">
        <v>758</v>
      </c>
    </row>
    <row r="518" spans="1:2" x14ac:dyDescent="0.2">
      <c r="A518" s="44" t="s">
        <v>594</v>
      </c>
      <c r="B518" s="73" t="s">
        <v>758</v>
      </c>
    </row>
    <row r="519" spans="1:2" x14ac:dyDescent="0.2">
      <c r="A519" s="44" t="s">
        <v>594</v>
      </c>
      <c r="B519" s="73" t="s">
        <v>758</v>
      </c>
    </row>
    <row r="520" spans="1:2" x14ac:dyDescent="0.2">
      <c r="A520" s="73" t="s">
        <v>626</v>
      </c>
      <c r="B520" s="73" t="s">
        <v>670</v>
      </c>
    </row>
    <row r="521" spans="1:2" x14ac:dyDescent="0.2">
      <c r="A521" s="73" t="s">
        <v>651</v>
      </c>
      <c r="B521" s="73" t="s">
        <v>890</v>
      </c>
    </row>
    <row r="522" spans="1:2" x14ac:dyDescent="0.2">
      <c r="A522" s="73" t="s">
        <v>651</v>
      </c>
      <c r="B522" s="73" t="s">
        <v>890</v>
      </c>
    </row>
    <row r="523" spans="1:2" x14ac:dyDescent="0.2">
      <c r="A523" s="73" t="s">
        <v>651</v>
      </c>
      <c r="B523" s="73" t="s">
        <v>890</v>
      </c>
    </row>
    <row r="524" spans="1:2" x14ac:dyDescent="0.2">
      <c r="A524" s="73" t="s">
        <v>651</v>
      </c>
      <c r="B524" s="73" t="s">
        <v>890</v>
      </c>
    </row>
    <row r="525" spans="1:2" x14ac:dyDescent="0.2">
      <c r="A525" s="73" t="s">
        <v>594</v>
      </c>
      <c r="B525" s="73" t="s">
        <v>884</v>
      </c>
    </row>
    <row r="526" spans="1:2" x14ac:dyDescent="0.2">
      <c r="A526" s="73" t="s">
        <v>884</v>
      </c>
      <c r="B526" s="73" t="s">
        <v>777</v>
      </c>
    </row>
    <row r="527" spans="1:2" x14ac:dyDescent="0.2">
      <c r="A527" s="73" t="s">
        <v>884</v>
      </c>
      <c r="B527" s="44" t="s">
        <v>879</v>
      </c>
    </row>
    <row r="528" spans="1:2" x14ac:dyDescent="0.2">
      <c r="A528" s="73" t="s">
        <v>884</v>
      </c>
      <c r="B528" s="73" t="s">
        <v>778</v>
      </c>
    </row>
    <row r="529" spans="1:2" x14ac:dyDescent="0.2">
      <c r="A529" s="73" t="s">
        <v>884</v>
      </c>
      <c r="B529" s="44" t="s">
        <v>775</v>
      </c>
    </row>
    <row r="530" spans="1:2" x14ac:dyDescent="0.2">
      <c r="A530" s="73" t="s">
        <v>884</v>
      </c>
      <c r="B530" s="44" t="s">
        <v>880</v>
      </c>
    </row>
    <row r="531" spans="1:2" x14ac:dyDescent="0.2">
      <c r="A531" s="73" t="s">
        <v>884</v>
      </c>
      <c r="B531" s="73" t="s">
        <v>570</v>
      </c>
    </row>
    <row r="532" spans="1:2" x14ac:dyDescent="0.2">
      <c r="A532" s="73" t="s">
        <v>884</v>
      </c>
      <c r="B532" s="44" t="s">
        <v>562</v>
      </c>
    </row>
    <row r="533" spans="1:2" x14ac:dyDescent="0.2">
      <c r="A533" s="73" t="s">
        <v>884</v>
      </c>
      <c r="B533" s="73" t="s">
        <v>779</v>
      </c>
    </row>
    <row r="534" spans="1:2" x14ac:dyDescent="0.2">
      <c r="A534" s="73" t="s">
        <v>884</v>
      </c>
      <c r="B534" s="44" t="s">
        <v>564</v>
      </c>
    </row>
    <row r="535" spans="1:2" x14ac:dyDescent="0.2">
      <c r="A535" s="73" t="s">
        <v>884</v>
      </c>
      <c r="B535" s="44" t="s">
        <v>559</v>
      </c>
    </row>
    <row r="536" spans="1:2" x14ac:dyDescent="0.2">
      <c r="A536" s="73" t="s">
        <v>884</v>
      </c>
      <c r="B536" s="73" t="s">
        <v>572</v>
      </c>
    </row>
    <row r="537" spans="1:2" x14ac:dyDescent="0.2">
      <c r="A537" s="73" t="s">
        <v>884</v>
      </c>
      <c r="B537" s="44" t="s">
        <v>776</v>
      </c>
    </row>
    <row r="538" spans="1:2" x14ac:dyDescent="0.2">
      <c r="A538" s="73" t="s">
        <v>884</v>
      </c>
      <c r="B538" s="73" t="s">
        <v>569</v>
      </c>
    </row>
    <row r="539" spans="1:2" x14ac:dyDescent="0.2">
      <c r="A539" s="73" t="s">
        <v>884</v>
      </c>
      <c r="B539" s="73" t="s">
        <v>392</v>
      </c>
    </row>
    <row r="540" spans="1:2" x14ac:dyDescent="0.2">
      <c r="A540" s="44" t="s">
        <v>754</v>
      </c>
      <c r="B540" s="44" t="s">
        <v>636</v>
      </c>
    </row>
    <row r="541" spans="1:2" x14ac:dyDescent="0.2">
      <c r="A541" s="44" t="s">
        <v>754</v>
      </c>
      <c r="B541" s="44" t="s">
        <v>637</v>
      </c>
    </row>
    <row r="542" spans="1:2" x14ac:dyDescent="0.2">
      <c r="A542" s="44" t="s">
        <v>754</v>
      </c>
      <c r="B542" s="44" t="s">
        <v>606</v>
      </c>
    </row>
    <row r="543" spans="1:2" x14ac:dyDescent="0.2">
      <c r="A543" s="44" t="s">
        <v>754</v>
      </c>
      <c r="B543" s="44" t="s">
        <v>764</v>
      </c>
    </row>
    <row r="544" spans="1:2" x14ac:dyDescent="0.2">
      <c r="A544" s="44" t="s">
        <v>754</v>
      </c>
      <c r="B544" s="73" t="s">
        <v>760</v>
      </c>
    </row>
    <row r="545" spans="1:2" x14ac:dyDescent="0.2">
      <c r="A545" s="44" t="s">
        <v>754</v>
      </c>
      <c r="B545" s="44" t="s">
        <v>761</v>
      </c>
    </row>
    <row r="546" spans="1:2" x14ac:dyDescent="0.2">
      <c r="A546" s="44" t="s">
        <v>754</v>
      </c>
      <c r="B546" s="44" t="s">
        <v>762</v>
      </c>
    </row>
    <row r="547" spans="1:2" x14ac:dyDescent="0.2">
      <c r="A547" s="73" t="s">
        <v>670</v>
      </c>
      <c r="B547" s="73" t="s">
        <v>629</v>
      </c>
    </row>
    <row r="548" spans="1:2" x14ac:dyDescent="0.2">
      <c r="A548" s="73" t="s">
        <v>670</v>
      </c>
      <c r="B548" s="73" t="s">
        <v>630</v>
      </c>
    </row>
    <row r="549" spans="1:2" x14ac:dyDescent="0.2">
      <c r="A549" s="73" t="s">
        <v>670</v>
      </c>
      <c r="B549" s="73" t="s">
        <v>631</v>
      </c>
    </row>
    <row r="550" spans="1:2" x14ac:dyDescent="0.2">
      <c r="A550" s="73" t="s">
        <v>670</v>
      </c>
      <c r="B550" s="73" t="s">
        <v>632</v>
      </c>
    </row>
    <row r="551" spans="1:2" x14ac:dyDescent="0.2">
      <c r="A551" s="73" t="s">
        <v>670</v>
      </c>
      <c r="B551" s="73" t="s">
        <v>633</v>
      </c>
    </row>
    <row r="552" spans="1:2" x14ac:dyDescent="0.2">
      <c r="A552" s="73" t="s">
        <v>670</v>
      </c>
      <c r="B552" s="73" t="s">
        <v>634</v>
      </c>
    </row>
    <row r="553" spans="1:2" x14ac:dyDescent="0.2">
      <c r="A553" s="73" t="s">
        <v>670</v>
      </c>
      <c r="B553" s="73" t="s">
        <v>635</v>
      </c>
    </row>
    <row r="554" spans="1:2" x14ac:dyDescent="0.2">
      <c r="A554" s="73" t="s">
        <v>670</v>
      </c>
      <c r="B554" s="73" t="s">
        <v>636</v>
      </c>
    </row>
    <row r="555" spans="1:2" x14ac:dyDescent="0.2">
      <c r="A555" s="73" t="s">
        <v>670</v>
      </c>
      <c r="B555" s="73" t="s">
        <v>637</v>
      </c>
    </row>
    <row r="556" spans="1:2" x14ac:dyDescent="0.2">
      <c r="A556" s="73" t="s">
        <v>670</v>
      </c>
      <c r="B556" s="73" t="s">
        <v>638</v>
      </c>
    </row>
    <row r="557" spans="1:2" x14ac:dyDescent="0.2">
      <c r="A557" s="73" t="s">
        <v>670</v>
      </c>
      <c r="B557" s="73" t="s">
        <v>640</v>
      </c>
    </row>
    <row r="558" spans="1:2" x14ac:dyDescent="0.2">
      <c r="A558" s="73" t="s">
        <v>670</v>
      </c>
      <c r="B558" s="73" t="s">
        <v>641</v>
      </c>
    </row>
    <row r="559" spans="1:2" x14ac:dyDescent="0.2">
      <c r="A559" s="73" t="s">
        <v>670</v>
      </c>
      <c r="B559" s="73" t="s">
        <v>642</v>
      </c>
    </row>
    <row r="560" spans="1:2" x14ac:dyDescent="0.2">
      <c r="A560" s="73" t="s">
        <v>670</v>
      </c>
      <c r="B560" s="73" t="s">
        <v>643</v>
      </c>
    </row>
    <row r="561" spans="1:2" x14ac:dyDescent="0.2">
      <c r="A561" s="73" t="s">
        <v>670</v>
      </c>
      <c r="B561" s="73" t="s">
        <v>644</v>
      </c>
    </row>
    <row r="562" spans="1:2" x14ac:dyDescent="0.2">
      <c r="A562" s="73" t="s">
        <v>670</v>
      </c>
      <c r="B562" s="73" t="s">
        <v>46</v>
      </c>
    </row>
    <row r="563" spans="1:2" x14ac:dyDescent="0.2">
      <c r="A563" s="73" t="s">
        <v>670</v>
      </c>
      <c r="B563" s="73" t="s">
        <v>697</v>
      </c>
    </row>
    <row r="564" spans="1:2" x14ac:dyDescent="0.2">
      <c r="A564" s="73" t="s">
        <v>670</v>
      </c>
      <c r="B564" s="73" t="s">
        <v>656</v>
      </c>
    </row>
    <row r="565" spans="1:2" x14ac:dyDescent="0.2">
      <c r="A565" s="73" t="s">
        <v>748</v>
      </c>
      <c r="B565" s="79" t="s">
        <v>564</v>
      </c>
    </row>
    <row r="566" spans="1:2" x14ac:dyDescent="0.2">
      <c r="A566" s="73" t="s">
        <v>748</v>
      </c>
      <c r="B566" s="88" t="s">
        <v>669</v>
      </c>
    </row>
    <row r="567" spans="1:2" x14ac:dyDescent="0.2">
      <c r="A567" s="73" t="s">
        <v>748</v>
      </c>
      <c r="B567" s="88" t="s">
        <v>636</v>
      </c>
    </row>
    <row r="568" spans="1:2" x14ac:dyDescent="0.2">
      <c r="A568" s="73" t="s">
        <v>748</v>
      </c>
      <c r="B568" s="73" t="s">
        <v>637</v>
      </c>
    </row>
    <row r="569" spans="1:2" x14ac:dyDescent="0.2">
      <c r="A569" s="73" t="s">
        <v>748</v>
      </c>
      <c r="B569" s="79" t="s">
        <v>559</v>
      </c>
    </row>
    <row r="570" spans="1:2" x14ac:dyDescent="0.2">
      <c r="A570" s="73" t="s">
        <v>748</v>
      </c>
      <c r="B570" s="44" t="s">
        <v>885</v>
      </c>
    </row>
    <row r="571" spans="1:2" x14ac:dyDescent="0.2">
      <c r="A571" s="73" t="s">
        <v>748</v>
      </c>
      <c r="B571" s="44" t="s">
        <v>740</v>
      </c>
    </row>
    <row r="572" spans="1:2" x14ac:dyDescent="0.2">
      <c r="A572" s="73" t="s">
        <v>748</v>
      </c>
      <c r="B572" s="44" t="s">
        <v>47</v>
      </c>
    </row>
    <row r="573" spans="1:2" x14ac:dyDescent="0.2">
      <c r="A573" s="73" t="s">
        <v>650</v>
      </c>
      <c r="B573" s="73" t="s">
        <v>571</v>
      </c>
    </row>
    <row r="574" spans="1:2" x14ac:dyDescent="0.2">
      <c r="A574" s="73" t="s">
        <v>650</v>
      </c>
      <c r="B574" s="44" t="s">
        <v>0</v>
      </c>
    </row>
    <row r="575" spans="1:2" x14ac:dyDescent="0.2">
      <c r="A575" s="73" t="s">
        <v>650</v>
      </c>
      <c r="B575" s="44" t="s">
        <v>380</v>
      </c>
    </row>
    <row r="576" spans="1:2" x14ac:dyDescent="0.2">
      <c r="A576" s="73" t="s">
        <v>650</v>
      </c>
      <c r="B576" s="44" t="s">
        <v>159</v>
      </c>
    </row>
    <row r="577" spans="1:2" x14ac:dyDescent="0.2">
      <c r="A577" s="73" t="s">
        <v>650</v>
      </c>
      <c r="B577" s="44" t="s">
        <v>400</v>
      </c>
    </row>
    <row r="578" spans="1:2" x14ac:dyDescent="0.2">
      <c r="A578" s="73" t="s">
        <v>650</v>
      </c>
      <c r="B578" s="44" t="s">
        <v>401</v>
      </c>
    </row>
    <row r="579" spans="1:2" x14ac:dyDescent="0.2">
      <c r="A579" s="73" t="s">
        <v>650</v>
      </c>
      <c r="B579" s="44" t="s">
        <v>402</v>
      </c>
    </row>
    <row r="580" spans="1:2" x14ac:dyDescent="0.2">
      <c r="A580" s="73" t="s">
        <v>650</v>
      </c>
      <c r="B580" s="44" t="s">
        <v>403</v>
      </c>
    </row>
    <row r="581" spans="1:2" x14ac:dyDescent="0.2">
      <c r="A581" s="73" t="s">
        <v>650</v>
      </c>
      <c r="B581" s="44" t="s">
        <v>168</v>
      </c>
    </row>
    <row r="582" spans="1:2" x14ac:dyDescent="0.2">
      <c r="A582" s="73" t="s">
        <v>650</v>
      </c>
      <c r="B582" s="73" t="s">
        <v>569</v>
      </c>
    </row>
    <row r="583" spans="1:2" x14ac:dyDescent="0.2">
      <c r="A583" s="73" t="s">
        <v>650</v>
      </c>
      <c r="B583" s="44" t="s">
        <v>237</v>
      </c>
    </row>
    <row r="584" spans="1:2" x14ac:dyDescent="0.2">
      <c r="A584" s="73" t="s">
        <v>650</v>
      </c>
      <c r="B584" s="73" t="s">
        <v>576</v>
      </c>
    </row>
    <row r="585" spans="1:2" x14ac:dyDescent="0.2">
      <c r="A585" s="73" t="s">
        <v>650</v>
      </c>
      <c r="B585" s="73" t="s">
        <v>572</v>
      </c>
    </row>
    <row r="586" spans="1:2" x14ac:dyDescent="0.2">
      <c r="A586" s="73" t="s">
        <v>650</v>
      </c>
      <c r="B586" s="44" t="s">
        <v>558</v>
      </c>
    </row>
    <row r="587" spans="1:2" x14ac:dyDescent="0.2">
      <c r="A587" s="73" t="s">
        <v>650</v>
      </c>
      <c r="B587" s="44" t="s">
        <v>544</v>
      </c>
    </row>
    <row r="588" spans="1:2" x14ac:dyDescent="0.2">
      <c r="A588" s="73" t="s">
        <v>650</v>
      </c>
      <c r="B588" s="44" t="s">
        <v>545</v>
      </c>
    </row>
    <row r="589" spans="1:2" x14ac:dyDescent="0.2">
      <c r="A589" s="73" t="s">
        <v>650</v>
      </c>
      <c r="B589" s="44" t="s">
        <v>559</v>
      </c>
    </row>
    <row r="590" spans="1:2" x14ac:dyDescent="0.2">
      <c r="A590" s="73" t="s">
        <v>650</v>
      </c>
      <c r="B590" s="44" t="s">
        <v>564</v>
      </c>
    </row>
    <row r="591" spans="1:2" x14ac:dyDescent="0.2">
      <c r="A591" s="73" t="s">
        <v>650</v>
      </c>
      <c r="B591" s="44" t="s">
        <v>408</v>
      </c>
    </row>
    <row r="592" spans="1:2" x14ac:dyDescent="0.2">
      <c r="A592" s="73" t="s">
        <v>650</v>
      </c>
      <c r="B592" s="44" t="s">
        <v>172</v>
      </c>
    </row>
    <row r="593" spans="1:2" x14ac:dyDescent="0.2">
      <c r="A593" s="73" t="s">
        <v>650</v>
      </c>
      <c r="B593" s="44" t="s">
        <v>174</v>
      </c>
    </row>
    <row r="594" spans="1:2" x14ac:dyDescent="0.2">
      <c r="A594" s="73" t="s">
        <v>650</v>
      </c>
      <c r="B594" s="44" t="s">
        <v>176</v>
      </c>
    </row>
    <row r="595" spans="1:2" x14ac:dyDescent="0.2">
      <c r="A595" s="73" t="s">
        <v>650</v>
      </c>
      <c r="B595" s="73" t="s">
        <v>573</v>
      </c>
    </row>
    <row r="596" spans="1:2" x14ac:dyDescent="0.2">
      <c r="A596" s="73" t="s">
        <v>650</v>
      </c>
      <c r="B596" s="44" t="s">
        <v>399</v>
      </c>
    </row>
    <row r="597" spans="1:2" x14ac:dyDescent="0.2">
      <c r="A597" s="73" t="s">
        <v>650</v>
      </c>
      <c r="B597" s="44" t="s">
        <v>667</v>
      </c>
    </row>
    <row r="598" spans="1:2" x14ac:dyDescent="0.2">
      <c r="A598" s="73" t="s">
        <v>650</v>
      </c>
      <c r="B598" s="44" t="s">
        <v>418</v>
      </c>
    </row>
    <row r="599" spans="1:2" x14ac:dyDescent="0.2">
      <c r="A599" s="73" t="s">
        <v>650</v>
      </c>
      <c r="B599" s="44" t="s">
        <v>205</v>
      </c>
    </row>
    <row r="600" spans="1:2" x14ac:dyDescent="0.2">
      <c r="A600" s="73" t="s">
        <v>650</v>
      </c>
      <c r="B600" s="73" t="s">
        <v>570</v>
      </c>
    </row>
    <row r="601" spans="1:2" x14ac:dyDescent="0.2">
      <c r="A601" s="73" t="s">
        <v>650</v>
      </c>
      <c r="B601" s="44" t="s">
        <v>566</v>
      </c>
    </row>
    <row r="602" spans="1:2" x14ac:dyDescent="0.2">
      <c r="A602" s="73" t="s">
        <v>650</v>
      </c>
      <c r="B602" s="73" t="s">
        <v>568</v>
      </c>
    </row>
    <row r="603" spans="1:2" x14ac:dyDescent="0.2">
      <c r="A603" s="73" t="s">
        <v>650</v>
      </c>
      <c r="B603" s="73" t="s">
        <v>575</v>
      </c>
    </row>
    <row r="604" spans="1:2" x14ac:dyDescent="0.2">
      <c r="A604" s="73" t="s">
        <v>650</v>
      </c>
      <c r="B604" s="44" t="s">
        <v>567</v>
      </c>
    </row>
    <row r="605" spans="1:2" x14ac:dyDescent="0.2">
      <c r="A605" s="73" t="s">
        <v>650</v>
      </c>
      <c r="B605" s="44" t="s">
        <v>332</v>
      </c>
    </row>
    <row r="606" spans="1:2" x14ac:dyDescent="0.2">
      <c r="A606" s="73" t="s">
        <v>650</v>
      </c>
      <c r="B606" s="44" t="s">
        <v>773</v>
      </c>
    </row>
    <row r="607" spans="1:2" x14ac:dyDescent="0.2">
      <c r="A607" s="73" t="s">
        <v>650</v>
      </c>
      <c r="B607" s="44" t="s">
        <v>332</v>
      </c>
    </row>
    <row r="608" spans="1:2" x14ac:dyDescent="0.2">
      <c r="A608" s="73" t="s">
        <v>650</v>
      </c>
      <c r="B608" s="44" t="s">
        <v>774</v>
      </c>
    </row>
    <row r="609" spans="1:2" x14ac:dyDescent="0.2">
      <c r="A609" s="73" t="s">
        <v>650</v>
      </c>
      <c r="B609" s="73" t="s">
        <v>574</v>
      </c>
    </row>
    <row r="610" spans="1:2" x14ac:dyDescent="0.2">
      <c r="A610" s="73" t="s">
        <v>650</v>
      </c>
      <c r="B610" s="44" t="s">
        <v>566</v>
      </c>
    </row>
    <row r="611" spans="1:2" x14ac:dyDescent="0.2">
      <c r="A611" s="73" t="s">
        <v>650</v>
      </c>
      <c r="B611" s="44" t="s">
        <v>886</v>
      </c>
    </row>
    <row r="612" spans="1:2" x14ac:dyDescent="0.2">
      <c r="A612" s="73" t="s">
        <v>650</v>
      </c>
      <c r="B612" s="44" t="s">
        <v>887</v>
      </c>
    </row>
    <row r="613" spans="1:2" x14ac:dyDescent="0.2">
      <c r="A613" s="44" t="s">
        <v>37</v>
      </c>
      <c r="B613" s="44" t="s">
        <v>559</v>
      </c>
    </row>
    <row r="614" spans="1:2" x14ac:dyDescent="0.2">
      <c r="A614" s="44" t="s">
        <v>37</v>
      </c>
      <c r="B614" s="44" t="s">
        <v>562</v>
      </c>
    </row>
    <row r="615" spans="1:2" x14ac:dyDescent="0.2">
      <c r="A615" s="44" t="s">
        <v>37</v>
      </c>
      <c r="B615" s="44" t="s">
        <v>564</v>
      </c>
    </row>
    <row r="616" spans="1:2" x14ac:dyDescent="0.2">
      <c r="A616" s="44" t="s">
        <v>37</v>
      </c>
      <c r="B616" s="44" t="s">
        <v>389</v>
      </c>
    </row>
    <row r="617" spans="1:2" x14ac:dyDescent="0.2">
      <c r="A617" s="44" t="s">
        <v>37</v>
      </c>
      <c r="B617" s="44" t="s">
        <v>568</v>
      </c>
    </row>
    <row r="618" spans="1:2" x14ac:dyDescent="0.2">
      <c r="A618" s="44" t="s">
        <v>37</v>
      </c>
      <c r="B618" s="44" t="s">
        <v>379</v>
      </c>
    </row>
    <row r="619" spans="1:2" x14ac:dyDescent="0.2">
      <c r="A619" s="44" t="s">
        <v>37</v>
      </c>
      <c r="B619" s="44" t="s">
        <v>0</v>
      </c>
    </row>
    <row r="620" spans="1:2" x14ac:dyDescent="0.2">
      <c r="A620" s="44" t="s">
        <v>37</v>
      </c>
      <c r="B620" s="44" t="s">
        <v>26</v>
      </c>
    </row>
    <row r="621" spans="1:2" x14ac:dyDescent="0.2">
      <c r="A621" s="44" t="s">
        <v>37</v>
      </c>
      <c r="B621" s="44" t="s">
        <v>390</v>
      </c>
    </row>
    <row r="622" spans="1:2" x14ac:dyDescent="0.2">
      <c r="A622" s="44" t="s">
        <v>37</v>
      </c>
      <c r="B622" s="44" t="s">
        <v>391</v>
      </c>
    </row>
    <row r="623" spans="1:2" x14ac:dyDescent="0.2">
      <c r="A623" s="44" t="s">
        <v>37</v>
      </c>
      <c r="B623" s="44" t="s">
        <v>392</v>
      </c>
    </row>
    <row r="624" spans="1:2" x14ac:dyDescent="0.2">
      <c r="A624" s="44" t="s">
        <v>37</v>
      </c>
      <c r="B624" s="44" t="s">
        <v>393</v>
      </c>
    </row>
    <row r="625" spans="1:2" x14ac:dyDescent="0.2">
      <c r="A625" s="44" t="s">
        <v>37</v>
      </c>
      <c r="B625" s="44" t="s">
        <v>569</v>
      </c>
    </row>
    <row r="626" spans="1:2" x14ac:dyDescent="0.2">
      <c r="A626" s="44" t="s">
        <v>37</v>
      </c>
      <c r="B626" s="44" t="s">
        <v>572</v>
      </c>
    </row>
    <row r="627" spans="1:2" x14ac:dyDescent="0.2">
      <c r="A627" s="44" t="s">
        <v>37</v>
      </c>
      <c r="B627" s="44" t="s">
        <v>566</v>
      </c>
    </row>
    <row r="628" spans="1:2" x14ac:dyDescent="0.2">
      <c r="A628" s="44" t="s">
        <v>37</v>
      </c>
      <c r="B628" s="44" t="s">
        <v>574</v>
      </c>
    </row>
    <row r="629" spans="1:2" x14ac:dyDescent="0.2">
      <c r="A629" s="44" t="s">
        <v>37</v>
      </c>
      <c r="B629" s="44" t="s">
        <v>394</v>
      </c>
    </row>
    <row r="630" spans="1:2" x14ac:dyDescent="0.2">
      <c r="A630" s="44" t="s">
        <v>37</v>
      </c>
      <c r="B630" s="44" t="s">
        <v>576</v>
      </c>
    </row>
    <row r="631" spans="1:2" ht="25.5" x14ac:dyDescent="0.2">
      <c r="A631" s="73" t="s">
        <v>757</v>
      </c>
      <c r="B631" s="44" t="s">
        <v>605</v>
      </c>
    </row>
    <row r="632" spans="1:2" ht="25.5" x14ac:dyDescent="0.2">
      <c r="A632" s="73" t="s">
        <v>757</v>
      </c>
      <c r="B632" s="44" t="s">
        <v>604</v>
      </c>
    </row>
    <row r="633" spans="1:2" ht="25.5" x14ac:dyDescent="0.2">
      <c r="A633" s="73" t="s">
        <v>757</v>
      </c>
      <c r="B633" s="44" t="s">
        <v>166</v>
      </c>
    </row>
    <row r="634" spans="1:2" ht="25.5" x14ac:dyDescent="0.2">
      <c r="A634" s="73" t="s">
        <v>757</v>
      </c>
      <c r="B634" s="73" t="s">
        <v>568</v>
      </c>
    </row>
    <row r="635" spans="1:2" ht="25.5" x14ac:dyDescent="0.2">
      <c r="A635" s="73" t="s">
        <v>757</v>
      </c>
      <c r="B635" s="44" t="s">
        <v>606</v>
      </c>
    </row>
    <row r="636" spans="1:2" ht="25.5" x14ac:dyDescent="0.2">
      <c r="A636" s="73" t="s">
        <v>757</v>
      </c>
      <c r="B636" s="44" t="s">
        <v>367</v>
      </c>
    </row>
    <row r="637" spans="1:2" ht="25.5" x14ac:dyDescent="0.2">
      <c r="A637" s="73" t="s">
        <v>757</v>
      </c>
      <c r="B637" s="44" t="s">
        <v>617</v>
      </c>
    </row>
    <row r="638" spans="1:2" ht="25.5" x14ac:dyDescent="0.2">
      <c r="A638" s="73" t="s">
        <v>757</v>
      </c>
      <c r="B638" s="44" t="s">
        <v>607</v>
      </c>
    </row>
    <row r="639" spans="1:2" ht="25.5" x14ac:dyDescent="0.2">
      <c r="A639" s="73" t="s">
        <v>757</v>
      </c>
      <c r="B639" s="44" t="s">
        <v>255</v>
      </c>
    </row>
    <row r="640" spans="1:2" ht="25.5" x14ac:dyDescent="0.2">
      <c r="A640" s="73" t="s">
        <v>757</v>
      </c>
      <c r="B640" s="73" t="s">
        <v>669</v>
      </c>
    </row>
    <row r="641" spans="1:2" ht="25.5" x14ac:dyDescent="0.2">
      <c r="A641" s="73" t="s">
        <v>757</v>
      </c>
      <c r="B641" s="44" t="s">
        <v>659</v>
      </c>
    </row>
    <row r="642" spans="1:2" ht="25.5" x14ac:dyDescent="0.2">
      <c r="A642" s="73" t="s">
        <v>757</v>
      </c>
      <c r="B642" s="44" t="s">
        <v>255</v>
      </c>
    </row>
    <row r="643" spans="1:2" ht="25.5" x14ac:dyDescent="0.2">
      <c r="A643" s="73" t="s">
        <v>757</v>
      </c>
      <c r="B643" s="44" t="s">
        <v>10</v>
      </c>
    </row>
    <row r="644" spans="1:2" ht="25.5" x14ac:dyDescent="0.2">
      <c r="A644" s="73" t="s">
        <v>757</v>
      </c>
      <c r="B644" s="44" t="s">
        <v>166</v>
      </c>
    </row>
    <row r="645" spans="1:2" ht="25.5" x14ac:dyDescent="0.2">
      <c r="A645" s="73" t="s">
        <v>757</v>
      </c>
      <c r="B645" s="44" t="s">
        <v>259</v>
      </c>
    </row>
    <row r="646" spans="1:2" x14ac:dyDescent="0.2">
      <c r="A646" s="44" t="s">
        <v>37</v>
      </c>
      <c r="B646" s="44" t="s">
        <v>567</v>
      </c>
    </row>
    <row r="647" spans="1:2" x14ac:dyDescent="0.2">
      <c r="A647" s="73" t="s">
        <v>758</v>
      </c>
      <c r="B647" s="44" t="s">
        <v>669</v>
      </c>
    </row>
    <row r="648" spans="1:2" x14ac:dyDescent="0.2">
      <c r="A648" s="73" t="s">
        <v>758</v>
      </c>
      <c r="B648" s="44" t="s">
        <v>569</v>
      </c>
    </row>
    <row r="649" spans="1:2" x14ac:dyDescent="0.2">
      <c r="A649" s="73" t="s">
        <v>758</v>
      </c>
      <c r="B649" s="73" t="s">
        <v>576</v>
      </c>
    </row>
    <row r="650" spans="1:2" x14ac:dyDescent="0.2">
      <c r="A650" s="73" t="s">
        <v>758</v>
      </c>
      <c r="B650" s="44" t="s">
        <v>745</v>
      </c>
    </row>
    <row r="651" spans="1:2" x14ac:dyDescent="0.2">
      <c r="A651" s="73" t="s">
        <v>670</v>
      </c>
      <c r="B651" s="73" t="s">
        <v>669</v>
      </c>
    </row>
    <row r="652" spans="1:2" x14ac:dyDescent="0.2">
      <c r="A652" s="73" t="s">
        <v>890</v>
      </c>
      <c r="B652" s="73" t="s">
        <v>787</v>
      </c>
    </row>
    <row r="653" spans="1:2" x14ac:dyDescent="0.2">
      <c r="A653" s="73" t="s">
        <v>890</v>
      </c>
      <c r="B653" s="73" t="s">
        <v>785</v>
      </c>
    </row>
    <row r="654" spans="1:2" x14ac:dyDescent="0.2">
      <c r="A654" s="73" t="s">
        <v>890</v>
      </c>
      <c r="B654" s="44" t="s">
        <v>564</v>
      </c>
    </row>
    <row r="655" spans="1:2" x14ac:dyDescent="0.2">
      <c r="A655" s="73" t="s">
        <v>890</v>
      </c>
      <c r="B655" s="73" t="s">
        <v>669</v>
      </c>
    </row>
    <row r="656" spans="1:2" x14ac:dyDescent="0.2">
      <c r="A656" s="73" t="s">
        <v>884</v>
      </c>
      <c r="B656" s="73" t="s">
        <v>393</v>
      </c>
    </row>
    <row r="657" spans="1:2" x14ac:dyDescent="0.2">
      <c r="A657" s="73" t="s">
        <v>777</v>
      </c>
      <c r="B657" s="73" t="s">
        <v>332</v>
      </c>
    </row>
    <row r="658" spans="1:2" x14ac:dyDescent="0.2">
      <c r="A658" s="44" t="s">
        <v>879</v>
      </c>
      <c r="B658" s="73" t="s">
        <v>781</v>
      </c>
    </row>
    <row r="659" spans="1:2" x14ac:dyDescent="0.2">
      <c r="A659" s="73" t="s">
        <v>778</v>
      </c>
      <c r="B659" s="73" t="s">
        <v>332</v>
      </c>
    </row>
    <row r="660" spans="1:2" x14ac:dyDescent="0.2">
      <c r="A660" s="44" t="s">
        <v>775</v>
      </c>
      <c r="B660" s="73" t="s">
        <v>332</v>
      </c>
    </row>
    <row r="661" spans="1:2" x14ac:dyDescent="0.2">
      <c r="A661" s="44" t="s">
        <v>880</v>
      </c>
      <c r="B661" s="73" t="s">
        <v>882</v>
      </c>
    </row>
    <row r="662" spans="1:2" x14ac:dyDescent="0.2">
      <c r="A662" s="73" t="s">
        <v>570</v>
      </c>
      <c r="B662" s="73" t="s">
        <v>332</v>
      </c>
    </row>
    <row r="663" spans="1:2" x14ac:dyDescent="0.2">
      <c r="A663" s="44" t="s">
        <v>562</v>
      </c>
      <c r="B663" s="73" t="s">
        <v>378</v>
      </c>
    </row>
    <row r="664" spans="1:2" x14ac:dyDescent="0.2">
      <c r="A664" s="73" t="s">
        <v>779</v>
      </c>
      <c r="B664" s="73" t="s">
        <v>780</v>
      </c>
    </row>
    <row r="665" spans="1:2" x14ac:dyDescent="0.2">
      <c r="A665" s="44" t="s">
        <v>564</v>
      </c>
      <c r="B665" s="73" t="s">
        <v>565</v>
      </c>
    </row>
    <row r="666" spans="1:2" x14ac:dyDescent="0.2">
      <c r="A666" s="44" t="s">
        <v>559</v>
      </c>
      <c r="B666" s="73" t="s">
        <v>377</v>
      </c>
    </row>
    <row r="667" spans="1:2" x14ac:dyDescent="0.2">
      <c r="A667" s="73" t="s">
        <v>572</v>
      </c>
      <c r="B667" s="73" t="s">
        <v>332</v>
      </c>
    </row>
    <row r="668" spans="1:2" x14ac:dyDescent="0.2">
      <c r="A668" s="44" t="s">
        <v>776</v>
      </c>
      <c r="B668" s="73" t="s">
        <v>332</v>
      </c>
    </row>
    <row r="669" spans="1:2" x14ac:dyDescent="0.2">
      <c r="A669" s="73" t="s">
        <v>569</v>
      </c>
      <c r="B669" s="73" t="s">
        <v>332</v>
      </c>
    </row>
    <row r="670" spans="1:2" x14ac:dyDescent="0.2">
      <c r="A670" s="73" t="s">
        <v>392</v>
      </c>
      <c r="B670" s="73" t="s">
        <v>384</v>
      </c>
    </row>
    <row r="671" spans="1:2" x14ac:dyDescent="0.2">
      <c r="A671" s="44" t="s">
        <v>636</v>
      </c>
      <c r="B671" s="44" t="s">
        <v>678</v>
      </c>
    </row>
    <row r="672" spans="1:2" x14ac:dyDescent="0.2">
      <c r="A672" s="44" t="s">
        <v>637</v>
      </c>
      <c r="B672" s="44" t="s">
        <v>679</v>
      </c>
    </row>
    <row r="673" spans="1:2" x14ac:dyDescent="0.2">
      <c r="A673" s="44" t="s">
        <v>606</v>
      </c>
      <c r="B673" s="44" t="s">
        <v>525</v>
      </c>
    </row>
    <row r="674" spans="1:2" x14ac:dyDescent="0.2">
      <c r="A674" s="44" t="s">
        <v>764</v>
      </c>
      <c r="B674" s="44" t="s">
        <v>696</v>
      </c>
    </row>
    <row r="675" spans="1:2" x14ac:dyDescent="0.2">
      <c r="A675" s="73" t="s">
        <v>760</v>
      </c>
      <c r="B675" s="44" t="s">
        <v>765</v>
      </c>
    </row>
    <row r="676" spans="1:2" x14ac:dyDescent="0.2">
      <c r="A676" s="44" t="s">
        <v>761</v>
      </c>
      <c r="B676" s="44" t="s">
        <v>763</v>
      </c>
    </row>
    <row r="677" spans="1:2" x14ac:dyDescent="0.2">
      <c r="A677" s="44" t="s">
        <v>762</v>
      </c>
      <c r="B677" s="44" t="s">
        <v>332</v>
      </c>
    </row>
    <row r="678" spans="1:2" x14ac:dyDescent="0.2">
      <c r="A678" s="73" t="s">
        <v>629</v>
      </c>
      <c r="B678" s="44" t="s">
        <v>357</v>
      </c>
    </row>
    <row r="679" spans="1:2" x14ac:dyDescent="0.2">
      <c r="A679" s="73" t="s">
        <v>630</v>
      </c>
      <c r="B679" s="44" t="s">
        <v>357</v>
      </c>
    </row>
    <row r="680" spans="1:2" x14ac:dyDescent="0.2">
      <c r="A680" s="73" t="s">
        <v>631</v>
      </c>
      <c r="B680" s="44" t="s">
        <v>248</v>
      </c>
    </row>
    <row r="681" spans="1:2" x14ac:dyDescent="0.2">
      <c r="A681" s="73" t="s">
        <v>632</v>
      </c>
      <c r="B681" s="44" t="s">
        <v>647</v>
      </c>
    </row>
    <row r="682" spans="1:2" x14ac:dyDescent="0.2">
      <c r="A682" s="73" t="s">
        <v>633</v>
      </c>
      <c r="B682" s="44" t="s">
        <v>648</v>
      </c>
    </row>
    <row r="683" spans="1:2" x14ac:dyDescent="0.2">
      <c r="A683" s="73" t="s">
        <v>634</v>
      </c>
      <c r="B683" s="44" t="s">
        <v>355</v>
      </c>
    </row>
    <row r="684" spans="1:2" x14ac:dyDescent="0.2">
      <c r="A684" s="73" t="s">
        <v>635</v>
      </c>
      <c r="B684" s="44" t="s">
        <v>355</v>
      </c>
    </row>
    <row r="685" spans="1:2" x14ac:dyDescent="0.2">
      <c r="A685" s="73" t="s">
        <v>636</v>
      </c>
      <c r="B685" s="44" t="s">
        <v>678</v>
      </c>
    </row>
    <row r="686" spans="1:2" x14ac:dyDescent="0.2">
      <c r="A686" s="73" t="s">
        <v>637</v>
      </c>
      <c r="B686" s="44" t="s">
        <v>679</v>
      </c>
    </row>
    <row r="687" spans="1:2" x14ac:dyDescent="0.2">
      <c r="A687" s="73" t="s">
        <v>638</v>
      </c>
      <c r="B687" s="44" t="s">
        <v>639</v>
      </c>
    </row>
    <row r="688" spans="1:2" x14ac:dyDescent="0.2">
      <c r="A688" s="73" t="s">
        <v>640</v>
      </c>
      <c r="B688" s="44" t="s">
        <v>639</v>
      </c>
    </row>
    <row r="689" spans="1:2" x14ac:dyDescent="0.2">
      <c r="A689" s="73" t="s">
        <v>641</v>
      </c>
      <c r="B689" s="44" t="s">
        <v>361</v>
      </c>
    </row>
    <row r="690" spans="1:2" x14ac:dyDescent="0.2">
      <c r="A690" s="73" t="s">
        <v>642</v>
      </c>
      <c r="B690" s="44" t="s">
        <v>361</v>
      </c>
    </row>
    <row r="691" spans="1:2" x14ac:dyDescent="0.2">
      <c r="A691" s="73" t="s">
        <v>643</v>
      </c>
      <c r="B691" s="44" t="s">
        <v>353</v>
      </c>
    </row>
    <row r="692" spans="1:2" x14ac:dyDescent="0.2">
      <c r="A692" s="73" t="s">
        <v>644</v>
      </c>
      <c r="B692" s="44" t="s">
        <v>353</v>
      </c>
    </row>
    <row r="693" spans="1:2" x14ac:dyDescent="0.2">
      <c r="A693" s="73" t="s">
        <v>46</v>
      </c>
      <c r="B693" s="73" t="s">
        <v>699</v>
      </c>
    </row>
    <row r="694" spans="1:2" x14ac:dyDescent="0.2">
      <c r="A694" s="73" t="s">
        <v>697</v>
      </c>
      <c r="B694" s="73" t="s">
        <v>698</v>
      </c>
    </row>
    <row r="695" spans="1:2" x14ac:dyDescent="0.2">
      <c r="A695" s="73" t="s">
        <v>656</v>
      </c>
      <c r="B695" s="73" t="s">
        <v>657</v>
      </c>
    </row>
    <row r="696" spans="1:2" x14ac:dyDescent="0.2">
      <c r="A696" s="79" t="s">
        <v>564</v>
      </c>
      <c r="B696" s="73" t="s">
        <v>565</v>
      </c>
    </row>
    <row r="697" spans="1:2" x14ac:dyDescent="0.2">
      <c r="A697" s="88" t="s">
        <v>669</v>
      </c>
      <c r="B697" s="44" t="s">
        <v>671</v>
      </c>
    </row>
    <row r="698" spans="1:2" x14ac:dyDescent="0.2">
      <c r="A698" s="88" t="s">
        <v>636</v>
      </c>
      <c r="B698" s="44" t="s">
        <v>678</v>
      </c>
    </row>
    <row r="699" spans="1:2" x14ac:dyDescent="0.2">
      <c r="A699" s="73" t="s">
        <v>637</v>
      </c>
      <c r="B699" s="44" t="s">
        <v>679</v>
      </c>
    </row>
    <row r="700" spans="1:2" x14ac:dyDescent="0.2">
      <c r="A700" s="79" t="s">
        <v>559</v>
      </c>
      <c r="B700" s="73" t="s">
        <v>377</v>
      </c>
    </row>
    <row r="701" spans="1:2" x14ac:dyDescent="0.2">
      <c r="A701" s="44" t="s">
        <v>885</v>
      </c>
      <c r="B701" s="73" t="s">
        <v>734</v>
      </c>
    </row>
    <row r="702" spans="1:2" x14ac:dyDescent="0.2">
      <c r="A702" s="44" t="s">
        <v>740</v>
      </c>
      <c r="B702" s="73" t="s">
        <v>741</v>
      </c>
    </row>
    <row r="703" spans="1:2" x14ac:dyDescent="0.2">
      <c r="A703" s="44" t="s">
        <v>47</v>
      </c>
      <c r="B703" s="73" t="s">
        <v>892</v>
      </c>
    </row>
    <row r="704" spans="1:2" x14ac:dyDescent="0.2">
      <c r="A704" s="73" t="s">
        <v>571</v>
      </c>
      <c r="B704" s="73" t="s">
        <v>332</v>
      </c>
    </row>
    <row r="705" spans="1:2" x14ac:dyDescent="0.2">
      <c r="A705" s="44" t="s">
        <v>0</v>
      </c>
      <c r="B705" s="44" t="s">
        <v>332</v>
      </c>
    </row>
    <row r="706" spans="1:2" x14ac:dyDescent="0.2">
      <c r="A706" s="44" t="s">
        <v>380</v>
      </c>
      <c r="B706" s="73" t="s">
        <v>419</v>
      </c>
    </row>
    <row r="707" spans="1:2" x14ac:dyDescent="0.2">
      <c r="A707" s="44" t="s">
        <v>159</v>
      </c>
      <c r="B707" s="44" t="s">
        <v>332</v>
      </c>
    </row>
    <row r="708" spans="1:2" x14ac:dyDescent="0.2">
      <c r="A708" s="44" t="s">
        <v>400</v>
      </c>
      <c r="B708" s="73" t="s">
        <v>404</v>
      </c>
    </row>
    <row r="709" spans="1:2" x14ac:dyDescent="0.2">
      <c r="A709" s="44" t="s">
        <v>401</v>
      </c>
      <c r="B709" s="73" t="s">
        <v>405</v>
      </c>
    </row>
    <row r="710" spans="1:2" x14ac:dyDescent="0.2">
      <c r="A710" s="44" t="s">
        <v>402</v>
      </c>
      <c r="B710" s="73" t="s">
        <v>406</v>
      </c>
    </row>
    <row r="711" spans="1:2" x14ac:dyDescent="0.2">
      <c r="A711" s="44" t="s">
        <v>403</v>
      </c>
      <c r="B711" s="73" t="s">
        <v>407</v>
      </c>
    </row>
    <row r="712" spans="1:2" x14ac:dyDescent="0.2">
      <c r="A712" s="44" t="s">
        <v>168</v>
      </c>
      <c r="B712" s="73" t="s">
        <v>410</v>
      </c>
    </row>
    <row r="713" spans="1:2" x14ac:dyDescent="0.2">
      <c r="A713" s="73" t="s">
        <v>569</v>
      </c>
      <c r="B713" s="73" t="s">
        <v>332</v>
      </c>
    </row>
    <row r="714" spans="1:2" x14ac:dyDescent="0.2">
      <c r="A714" s="44" t="s">
        <v>237</v>
      </c>
      <c r="B714" s="73" t="s">
        <v>417</v>
      </c>
    </row>
    <row r="715" spans="1:2" x14ac:dyDescent="0.2">
      <c r="A715" s="73" t="s">
        <v>576</v>
      </c>
      <c r="B715" s="44" t="s">
        <v>332</v>
      </c>
    </row>
    <row r="716" spans="1:2" x14ac:dyDescent="0.2">
      <c r="A716" s="73" t="s">
        <v>572</v>
      </c>
      <c r="B716" s="73" t="s">
        <v>332</v>
      </c>
    </row>
    <row r="717" spans="1:2" x14ac:dyDescent="0.2">
      <c r="A717" s="44" t="s">
        <v>558</v>
      </c>
      <c r="B717" s="73" t="s">
        <v>396</v>
      </c>
    </row>
    <row r="718" spans="1:2" x14ac:dyDescent="0.2">
      <c r="A718" s="44" t="s">
        <v>544</v>
      </c>
      <c r="B718" s="44" t="s">
        <v>332</v>
      </c>
    </row>
    <row r="719" spans="1:2" x14ac:dyDescent="0.2">
      <c r="A719" s="44" t="s">
        <v>545</v>
      </c>
      <c r="B719" s="73" t="s">
        <v>397</v>
      </c>
    </row>
    <row r="720" spans="1:2" x14ac:dyDescent="0.2">
      <c r="A720" s="44" t="s">
        <v>559</v>
      </c>
      <c r="B720" s="73" t="s">
        <v>377</v>
      </c>
    </row>
    <row r="721" spans="1:2" x14ac:dyDescent="0.2">
      <c r="A721" s="44" t="s">
        <v>564</v>
      </c>
      <c r="B721" s="73" t="s">
        <v>565</v>
      </c>
    </row>
    <row r="722" spans="1:2" x14ac:dyDescent="0.2">
      <c r="A722" s="44" t="s">
        <v>408</v>
      </c>
      <c r="B722" s="73" t="s">
        <v>412</v>
      </c>
    </row>
    <row r="723" spans="1:2" x14ac:dyDescent="0.2">
      <c r="A723" s="44" t="s">
        <v>172</v>
      </c>
      <c r="B723" s="73" t="s">
        <v>413</v>
      </c>
    </row>
    <row r="724" spans="1:2" x14ac:dyDescent="0.2">
      <c r="A724" s="44" t="s">
        <v>174</v>
      </c>
      <c r="B724" s="73" t="s">
        <v>414</v>
      </c>
    </row>
    <row r="725" spans="1:2" x14ac:dyDescent="0.2">
      <c r="A725" s="44" t="s">
        <v>176</v>
      </c>
      <c r="B725" s="73" t="s">
        <v>415</v>
      </c>
    </row>
    <row r="726" spans="1:2" x14ac:dyDescent="0.2">
      <c r="A726" s="73" t="s">
        <v>573</v>
      </c>
      <c r="B726" s="73" t="s">
        <v>332</v>
      </c>
    </row>
    <row r="727" spans="1:2" x14ac:dyDescent="0.2">
      <c r="A727" s="44" t="s">
        <v>399</v>
      </c>
      <c r="B727" s="73" t="s">
        <v>375</v>
      </c>
    </row>
    <row r="728" spans="1:2" x14ac:dyDescent="0.2">
      <c r="A728" s="44" t="s">
        <v>667</v>
      </c>
      <c r="B728" s="44" t="s">
        <v>332</v>
      </c>
    </row>
    <row r="729" spans="1:2" x14ac:dyDescent="0.2">
      <c r="A729" s="44" t="s">
        <v>418</v>
      </c>
      <c r="B729" s="73" t="s">
        <v>388</v>
      </c>
    </row>
    <row r="730" spans="1:2" x14ac:dyDescent="0.2">
      <c r="A730" s="44" t="s">
        <v>205</v>
      </c>
      <c r="B730" s="73" t="s">
        <v>332</v>
      </c>
    </row>
    <row r="731" spans="1:2" x14ac:dyDescent="0.2">
      <c r="A731" s="73" t="s">
        <v>570</v>
      </c>
      <c r="B731" s="73" t="s">
        <v>332</v>
      </c>
    </row>
    <row r="732" spans="1:2" x14ac:dyDescent="0.2">
      <c r="A732" s="44" t="s">
        <v>566</v>
      </c>
      <c r="B732" s="73" t="s">
        <v>332</v>
      </c>
    </row>
    <row r="733" spans="1:2" x14ac:dyDescent="0.2">
      <c r="A733" s="73" t="s">
        <v>568</v>
      </c>
      <c r="B733" s="73" t="s">
        <v>332</v>
      </c>
    </row>
    <row r="734" spans="1:2" x14ac:dyDescent="0.2">
      <c r="A734" s="73" t="s">
        <v>575</v>
      </c>
      <c r="B734" s="73" t="s">
        <v>332</v>
      </c>
    </row>
    <row r="735" spans="1:2" x14ac:dyDescent="0.2">
      <c r="A735" s="44" t="s">
        <v>567</v>
      </c>
      <c r="B735" s="73" t="s">
        <v>387</v>
      </c>
    </row>
    <row r="736" spans="1:2" x14ac:dyDescent="0.2">
      <c r="A736" s="44" t="s">
        <v>332</v>
      </c>
      <c r="B736" s="73" t="s">
        <v>332</v>
      </c>
    </row>
    <row r="737" spans="1:2" x14ac:dyDescent="0.2">
      <c r="A737" s="44" t="s">
        <v>773</v>
      </c>
      <c r="B737" s="73" t="s">
        <v>376</v>
      </c>
    </row>
    <row r="738" spans="1:2" x14ac:dyDescent="0.2">
      <c r="A738" s="44" t="s">
        <v>332</v>
      </c>
      <c r="B738" s="73" t="s">
        <v>332</v>
      </c>
    </row>
    <row r="739" spans="1:2" x14ac:dyDescent="0.2">
      <c r="A739" s="44" t="s">
        <v>774</v>
      </c>
      <c r="B739" s="73" t="s">
        <v>409</v>
      </c>
    </row>
    <row r="740" spans="1:2" x14ac:dyDescent="0.2">
      <c r="A740" s="73" t="s">
        <v>574</v>
      </c>
      <c r="B740" s="44" t="s">
        <v>332</v>
      </c>
    </row>
    <row r="741" spans="1:2" x14ac:dyDescent="0.2">
      <c r="A741" s="44" t="s">
        <v>566</v>
      </c>
      <c r="B741" s="44" t="s">
        <v>332</v>
      </c>
    </row>
    <row r="742" spans="1:2" x14ac:dyDescent="0.2">
      <c r="A742" s="44" t="s">
        <v>886</v>
      </c>
      <c r="B742" s="44" t="s">
        <v>729</v>
      </c>
    </row>
    <row r="743" spans="1:2" x14ac:dyDescent="0.2">
      <c r="A743" s="44" t="s">
        <v>887</v>
      </c>
      <c r="B743" s="44" t="s">
        <v>730</v>
      </c>
    </row>
    <row r="744" spans="1:2" x14ac:dyDescent="0.2">
      <c r="A744" s="44" t="s">
        <v>559</v>
      </c>
      <c r="B744" s="44" t="s">
        <v>377</v>
      </c>
    </row>
    <row r="745" spans="1:2" x14ac:dyDescent="0.2">
      <c r="A745" s="44" t="s">
        <v>562</v>
      </c>
      <c r="B745" s="44" t="s">
        <v>378</v>
      </c>
    </row>
    <row r="746" spans="1:2" x14ac:dyDescent="0.2">
      <c r="A746" s="44" t="s">
        <v>564</v>
      </c>
      <c r="B746" s="44" t="s">
        <v>565</v>
      </c>
    </row>
    <row r="747" spans="1:2" x14ac:dyDescent="0.2">
      <c r="A747" s="44" t="s">
        <v>389</v>
      </c>
      <c r="B747" s="44" t="s">
        <v>332</v>
      </c>
    </row>
    <row r="748" spans="1:2" x14ac:dyDescent="0.2">
      <c r="A748" s="44" t="s">
        <v>568</v>
      </c>
      <c r="B748" s="44" t="s">
        <v>332</v>
      </c>
    </row>
    <row r="749" spans="1:2" x14ac:dyDescent="0.2">
      <c r="A749" s="44" t="s">
        <v>379</v>
      </c>
      <c r="B749" s="44" t="s">
        <v>381</v>
      </c>
    </row>
    <row r="750" spans="1:2" x14ac:dyDescent="0.2">
      <c r="A750" s="44" t="s">
        <v>0</v>
      </c>
      <c r="B750" s="44" t="s">
        <v>332</v>
      </c>
    </row>
    <row r="751" spans="1:2" x14ac:dyDescent="0.2">
      <c r="A751" s="44" t="s">
        <v>26</v>
      </c>
      <c r="B751" s="44" t="s">
        <v>382</v>
      </c>
    </row>
    <row r="752" spans="1:2" x14ac:dyDescent="0.2">
      <c r="A752" s="44" t="s">
        <v>390</v>
      </c>
      <c r="B752" s="44" t="s">
        <v>383</v>
      </c>
    </row>
    <row r="753" spans="1:2" x14ac:dyDescent="0.2">
      <c r="A753" s="44" t="s">
        <v>391</v>
      </c>
      <c r="B753" s="44" t="s">
        <v>385</v>
      </c>
    </row>
    <row r="754" spans="1:2" x14ac:dyDescent="0.2">
      <c r="A754" s="44" t="s">
        <v>392</v>
      </c>
      <c r="B754" s="44" t="s">
        <v>384</v>
      </c>
    </row>
    <row r="755" spans="1:2" x14ac:dyDescent="0.2">
      <c r="A755" s="44" t="s">
        <v>393</v>
      </c>
      <c r="B755" s="44" t="s">
        <v>386</v>
      </c>
    </row>
    <row r="756" spans="1:2" x14ac:dyDescent="0.2">
      <c r="A756" s="44" t="s">
        <v>569</v>
      </c>
      <c r="B756" s="44" t="s">
        <v>332</v>
      </c>
    </row>
    <row r="757" spans="1:2" x14ac:dyDescent="0.2">
      <c r="A757" s="44" t="s">
        <v>572</v>
      </c>
      <c r="B757" s="44" t="s">
        <v>332</v>
      </c>
    </row>
    <row r="758" spans="1:2" x14ac:dyDescent="0.2">
      <c r="A758" s="44" t="s">
        <v>566</v>
      </c>
      <c r="B758" s="44" t="s">
        <v>332</v>
      </c>
    </row>
    <row r="759" spans="1:2" x14ac:dyDescent="0.2">
      <c r="A759" s="44" t="s">
        <v>574</v>
      </c>
      <c r="B759" s="44" t="s">
        <v>332</v>
      </c>
    </row>
    <row r="760" spans="1:2" x14ac:dyDescent="0.2">
      <c r="A760" s="44" t="s">
        <v>394</v>
      </c>
      <c r="B760" s="44" t="s">
        <v>332</v>
      </c>
    </row>
    <row r="761" spans="1:2" x14ac:dyDescent="0.2">
      <c r="A761" s="44" t="s">
        <v>576</v>
      </c>
      <c r="B761" s="44" t="s">
        <v>332</v>
      </c>
    </row>
    <row r="762" spans="1:2" x14ac:dyDescent="0.2">
      <c r="A762" s="44" t="s">
        <v>605</v>
      </c>
      <c r="B762" s="73" t="s">
        <v>608</v>
      </c>
    </row>
    <row r="763" spans="1:2" x14ac:dyDescent="0.2">
      <c r="A763" s="44" t="s">
        <v>604</v>
      </c>
      <c r="B763" s="73" t="s">
        <v>609</v>
      </c>
    </row>
    <row r="764" spans="1:2" x14ac:dyDescent="0.2">
      <c r="A764" s="44" t="s">
        <v>166</v>
      </c>
      <c r="B764" s="73" t="s">
        <v>620</v>
      </c>
    </row>
    <row r="765" spans="1:2" x14ac:dyDescent="0.2">
      <c r="A765" s="73" t="s">
        <v>568</v>
      </c>
      <c r="B765" s="73" t="s">
        <v>332</v>
      </c>
    </row>
    <row r="766" spans="1:2" x14ac:dyDescent="0.2">
      <c r="A766" s="44" t="s">
        <v>606</v>
      </c>
      <c r="B766" s="73" t="s">
        <v>525</v>
      </c>
    </row>
    <row r="767" spans="1:2" x14ac:dyDescent="0.2">
      <c r="A767" s="44" t="s">
        <v>367</v>
      </c>
      <c r="B767" s="73" t="s">
        <v>610</v>
      </c>
    </row>
    <row r="768" spans="1:2" x14ac:dyDescent="0.2">
      <c r="A768" s="44" t="s">
        <v>617</v>
      </c>
      <c r="B768" s="44" t="s">
        <v>616</v>
      </c>
    </row>
    <row r="769" spans="1:2" x14ac:dyDescent="0.2">
      <c r="A769" s="44" t="s">
        <v>607</v>
      </c>
      <c r="B769" s="44" t="s">
        <v>619</v>
      </c>
    </row>
    <row r="770" spans="1:2" x14ac:dyDescent="0.2">
      <c r="A770" s="44" t="s">
        <v>255</v>
      </c>
      <c r="B770" s="44" t="s">
        <v>621</v>
      </c>
    </row>
    <row r="771" spans="1:2" x14ac:dyDescent="0.2">
      <c r="A771" s="73" t="s">
        <v>669</v>
      </c>
      <c r="B771" s="73" t="s">
        <v>668</v>
      </c>
    </row>
    <row r="772" spans="1:2" x14ac:dyDescent="0.2">
      <c r="A772" s="44" t="s">
        <v>659</v>
      </c>
      <c r="B772" s="73" t="s">
        <v>613</v>
      </c>
    </row>
    <row r="773" spans="1:2" x14ac:dyDescent="0.2">
      <c r="A773" s="44" t="s">
        <v>255</v>
      </c>
      <c r="B773" s="73" t="s">
        <v>622</v>
      </c>
    </row>
    <row r="774" spans="1:2" x14ac:dyDescent="0.2">
      <c r="A774" s="44" t="s">
        <v>10</v>
      </c>
      <c r="B774" s="44" t="s">
        <v>614</v>
      </c>
    </row>
    <row r="775" spans="1:2" x14ac:dyDescent="0.2">
      <c r="A775" s="44" t="s">
        <v>166</v>
      </c>
      <c r="B775" s="44" t="s">
        <v>623</v>
      </c>
    </row>
    <row r="776" spans="1:2" x14ac:dyDescent="0.2">
      <c r="A776" s="44" t="s">
        <v>259</v>
      </c>
      <c r="B776" s="44" t="s">
        <v>624</v>
      </c>
    </row>
    <row r="777" spans="1:2" x14ac:dyDescent="0.2">
      <c r="A777" s="44" t="s">
        <v>567</v>
      </c>
      <c r="B777" s="44" t="s">
        <v>387</v>
      </c>
    </row>
    <row r="778" spans="1:2" x14ac:dyDescent="0.2">
      <c r="A778" s="44" t="s">
        <v>669</v>
      </c>
      <c r="B778" s="73" t="s">
        <v>668</v>
      </c>
    </row>
    <row r="779" spans="1:2" x14ac:dyDescent="0.2">
      <c r="A779" s="44" t="s">
        <v>569</v>
      </c>
      <c r="B779" s="73" t="s">
        <v>332</v>
      </c>
    </row>
    <row r="780" spans="1:2" x14ac:dyDescent="0.2">
      <c r="A780" s="73" t="s">
        <v>576</v>
      </c>
      <c r="B780" s="44" t="s">
        <v>332</v>
      </c>
    </row>
    <row r="781" spans="1:2" ht="25.5" x14ac:dyDescent="0.2">
      <c r="A781" s="44" t="s">
        <v>745</v>
      </c>
      <c r="B781" s="73" t="s">
        <v>746</v>
      </c>
    </row>
    <row r="782" spans="1:2" x14ac:dyDescent="0.2">
      <c r="A782" s="73" t="s">
        <v>669</v>
      </c>
      <c r="B782" s="44" t="s">
        <v>668</v>
      </c>
    </row>
    <row r="783" spans="1:2" x14ac:dyDescent="0.2">
      <c r="A783" s="73" t="s">
        <v>787</v>
      </c>
      <c r="B783" s="44" t="s">
        <v>878</v>
      </c>
    </row>
    <row r="784" spans="1:2" x14ac:dyDescent="0.2">
      <c r="A784" s="73" t="s">
        <v>785</v>
      </c>
      <c r="B784" s="44" t="s">
        <v>877</v>
      </c>
    </row>
    <row r="785" spans="1:2" x14ac:dyDescent="0.2">
      <c r="A785" s="44" t="s">
        <v>564</v>
      </c>
      <c r="B785" s="73" t="s">
        <v>565</v>
      </c>
    </row>
    <row r="786" spans="1:2" x14ac:dyDescent="0.2">
      <c r="A786" s="73" t="s">
        <v>669</v>
      </c>
      <c r="B786" s="44" t="s">
        <v>248</v>
      </c>
    </row>
    <row r="787" spans="1:2" x14ac:dyDescent="0.2">
      <c r="A787" s="73" t="s">
        <v>393</v>
      </c>
      <c r="B787" s="73" t="s">
        <v>386</v>
      </c>
    </row>
    <row r="788" spans="1:2" x14ac:dyDescent="0.2">
      <c r="A788" s="73" t="s">
        <v>332</v>
      </c>
      <c r="B788" s="44" t="s">
        <v>1052</v>
      </c>
    </row>
    <row r="789" spans="1:2" x14ac:dyDescent="0.2">
      <c r="A789" s="73" t="s">
        <v>781</v>
      </c>
      <c r="B789" s="44" t="s">
        <v>1055</v>
      </c>
    </row>
    <row r="790" spans="1:2" x14ac:dyDescent="0.2">
      <c r="A790" s="73" t="s">
        <v>332</v>
      </c>
      <c r="B790" s="44" t="s">
        <v>778</v>
      </c>
    </row>
    <row r="791" spans="1:2" x14ac:dyDescent="0.2">
      <c r="A791" s="73" t="s">
        <v>332</v>
      </c>
      <c r="B791" s="44" t="s">
        <v>775</v>
      </c>
    </row>
    <row r="792" spans="1:2" x14ac:dyDescent="0.2">
      <c r="A792" s="73" t="s">
        <v>882</v>
      </c>
      <c r="B792" s="44" t="s">
        <v>880</v>
      </c>
    </row>
    <row r="793" spans="1:2" x14ac:dyDescent="0.2">
      <c r="A793" s="73" t="s">
        <v>332</v>
      </c>
      <c r="B793" s="44" t="s">
        <v>570</v>
      </c>
    </row>
    <row r="794" spans="1:2" x14ac:dyDescent="0.2">
      <c r="A794" s="73" t="s">
        <v>378</v>
      </c>
      <c r="B794" s="44" t="s">
        <v>562</v>
      </c>
    </row>
    <row r="795" spans="1:2" x14ac:dyDescent="0.2">
      <c r="A795" s="73" t="s">
        <v>780</v>
      </c>
      <c r="B795" s="44" t="s">
        <v>779</v>
      </c>
    </row>
    <row r="796" spans="1:2" x14ac:dyDescent="0.2">
      <c r="A796" s="73" t="s">
        <v>565</v>
      </c>
      <c r="B796" s="44" t="s">
        <v>564</v>
      </c>
    </row>
    <row r="797" spans="1:2" x14ac:dyDescent="0.2">
      <c r="A797" s="73" t="s">
        <v>377</v>
      </c>
      <c r="B797" s="44" t="s">
        <v>559</v>
      </c>
    </row>
    <row r="798" spans="1:2" x14ac:dyDescent="0.2">
      <c r="A798" s="73" t="s">
        <v>332</v>
      </c>
      <c r="B798" s="44" t="s">
        <v>572</v>
      </c>
    </row>
    <row r="799" spans="1:2" x14ac:dyDescent="0.2">
      <c r="A799" s="73" t="s">
        <v>332</v>
      </c>
      <c r="B799" s="44" t="s">
        <v>776</v>
      </c>
    </row>
    <row r="800" spans="1:2" x14ac:dyDescent="0.2">
      <c r="A800" s="73" t="s">
        <v>332</v>
      </c>
      <c r="B800" s="44" t="s">
        <v>669</v>
      </c>
    </row>
    <row r="801" spans="1:2" x14ac:dyDescent="0.2">
      <c r="A801" s="73" t="s">
        <v>384</v>
      </c>
      <c r="B801" s="44" t="s">
        <v>392</v>
      </c>
    </row>
    <row r="802" spans="1:2" x14ac:dyDescent="0.2">
      <c r="A802" s="44" t="s">
        <v>678</v>
      </c>
      <c r="B802" s="44" t="s">
        <v>636</v>
      </c>
    </row>
    <row r="803" spans="1:2" x14ac:dyDescent="0.2">
      <c r="A803" s="44" t="s">
        <v>679</v>
      </c>
      <c r="B803" s="44" t="s">
        <v>637</v>
      </c>
    </row>
    <row r="804" spans="1:2" x14ac:dyDescent="0.2">
      <c r="A804" s="44" t="s">
        <v>525</v>
      </c>
      <c r="B804" s="44" t="s">
        <v>1001</v>
      </c>
    </row>
    <row r="805" spans="1:2" x14ac:dyDescent="0.2">
      <c r="A805" s="44" t="s">
        <v>696</v>
      </c>
      <c r="B805" s="44" t="s">
        <v>1002</v>
      </c>
    </row>
    <row r="806" spans="1:2" x14ac:dyDescent="0.2">
      <c r="A806" s="44" t="s">
        <v>765</v>
      </c>
      <c r="B806" s="44" t="s">
        <v>1004</v>
      </c>
    </row>
    <row r="807" spans="1:2" x14ac:dyDescent="0.2">
      <c r="A807" s="44" t="s">
        <v>763</v>
      </c>
      <c r="B807" s="44" t="s">
        <v>1006</v>
      </c>
    </row>
    <row r="808" spans="1:2" x14ac:dyDescent="0.2">
      <c r="A808" s="44" t="s">
        <v>332</v>
      </c>
      <c r="B808" s="44" t="s">
        <v>1008</v>
      </c>
    </row>
    <row r="809" spans="1:2" x14ac:dyDescent="0.2">
      <c r="A809" s="44" t="s">
        <v>357</v>
      </c>
      <c r="B809" s="44" t="s">
        <v>629</v>
      </c>
    </row>
    <row r="810" spans="1:2" x14ac:dyDescent="0.2">
      <c r="A810" s="44" t="s">
        <v>357</v>
      </c>
      <c r="B810" s="44" t="s">
        <v>630</v>
      </c>
    </row>
    <row r="811" spans="1:2" x14ac:dyDescent="0.2">
      <c r="A811" s="44" t="s">
        <v>248</v>
      </c>
      <c r="B811" s="54" t="s">
        <v>631</v>
      </c>
    </row>
    <row r="812" spans="1:2" x14ac:dyDescent="0.2">
      <c r="A812" s="44" t="s">
        <v>647</v>
      </c>
      <c r="B812" s="44" t="s">
        <v>632</v>
      </c>
    </row>
    <row r="813" spans="1:2" x14ac:dyDescent="0.2">
      <c r="A813" s="44" t="s">
        <v>648</v>
      </c>
      <c r="B813" s="44" t="s">
        <v>633</v>
      </c>
    </row>
    <row r="814" spans="1:2" x14ac:dyDescent="0.2">
      <c r="A814" s="44" t="s">
        <v>355</v>
      </c>
      <c r="B814" s="44" t="s">
        <v>634</v>
      </c>
    </row>
    <row r="815" spans="1:2" x14ac:dyDescent="0.2">
      <c r="A815" s="44" t="s">
        <v>355</v>
      </c>
      <c r="B815" s="44" t="s">
        <v>635</v>
      </c>
    </row>
    <row r="816" spans="1:2" x14ac:dyDescent="0.2">
      <c r="A816" s="44" t="s">
        <v>678</v>
      </c>
      <c r="B816" s="44" t="s">
        <v>636</v>
      </c>
    </row>
    <row r="817" spans="1:2" x14ac:dyDescent="0.2">
      <c r="A817" s="44" t="s">
        <v>679</v>
      </c>
      <c r="B817" s="44" t="s">
        <v>637</v>
      </c>
    </row>
    <row r="818" spans="1:2" x14ac:dyDescent="0.2">
      <c r="A818" s="44" t="s">
        <v>639</v>
      </c>
      <c r="B818" s="44" t="s">
        <v>638</v>
      </c>
    </row>
    <row r="819" spans="1:2" x14ac:dyDescent="0.2">
      <c r="A819" s="44" t="s">
        <v>639</v>
      </c>
      <c r="B819" s="44" t="s">
        <v>640</v>
      </c>
    </row>
    <row r="820" spans="1:2" x14ac:dyDescent="0.2">
      <c r="A820" s="44" t="s">
        <v>361</v>
      </c>
      <c r="B820" s="44" t="s">
        <v>641</v>
      </c>
    </row>
    <row r="821" spans="1:2" x14ac:dyDescent="0.2">
      <c r="A821" s="44" t="s">
        <v>361</v>
      </c>
      <c r="B821" s="44" t="s">
        <v>642</v>
      </c>
    </row>
    <row r="822" spans="1:2" x14ac:dyDescent="0.2">
      <c r="A822" s="44" t="s">
        <v>353</v>
      </c>
      <c r="B822" s="44" t="s">
        <v>643</v>
      </c>
    </row>
    <row r="823" spans="1:2" x14ac:dyDescent="0.2">
      <c r="A823" s="44" t="s">
        <v>353</v>
      </c>
      <c r="B823" s="44" t="s">
        <v>644</v>
      </c>
    </row>
    <row r="824" spans="1:2" x14ac:dyDescent="0.2">
      <c r="A824" s="73" t="s">
        <v>699</v>
      </c>
      <c r="B824" s="44" t="s">
        <v>46</v>
      </c>
    </row>
    <row r="825" spans="1:2" x14ac:dyDescent="0.2">
      <c r="A825" s="73" t="s">
        <v>698</v>
      </c>
      <c r="B825" s="44" t="s">
        <v>697</v>
      </c>
    </row>
    <row r="826" spans="1:2" x14ac:dyDescent="0.2">
      <c r="A826" s="73" t="s">
        <v>657</v>
      </c>
      <c r="B826" s="44" t="s">
        <v>656</v>
      </c>
    </row>
    <row r="827" spans="1:2" x14ac:dyDescent="0.2">
      <c r="A827" s="73" t="s">
        <v>565</v>
      </c>
      <c r="B827" s="44" t="s">
        <v>564</v>
      </c>
    </row>
    <row r="828" spans="1:2" x14ac:dyDescent="0.2">
      <c r="A828" s="44" t="s">
        <v>671</v>
      </c>
      <c r="B828" s="44" t="s">
        <v>989</v>
      </c>
    </row>
    <row r="829" spans="1:2" x14ac:dyDescent="0.2">
      <c r="A829" s="44" t="s">
        <v>678</v>
      </c>
      <c r="B829" s="44" t="s">
        <v>636</v>
      </c>
    </row>
    <row r="830" spans="1:2" x14ac:dyDescent="0.2">
      <c r="A830" s="44" t="s">
        <v>679</v>
      </c>
      <c r="B830" s="44" t="s">
        <v>637</v>
      </c>
    </row>
    <row r="831" spans="1:2" x14ac:dyDescent="0.2">
      <c r="A831" s="73" t="s">
        <v>377</v>
      </c>
      <c r="B831" s="44" t="s">
        <v>990</v>
      </c>
    </row>
    <row r="832" spans="1:2" x14ac:dyDescent="0.2">
      <c r="A832" s="73" t="s">
        <v>734</v>
      </c>
      <c r="B832" s="44" t="s">
        <v>992</v>
      </c>
    </row>
    <row r="833" spans="1:2" x14ac:dyDescent="0.2">
      <c r="A833" s="73" t="s">
        <v>741</v>
      </c>
      <c r="B833" s="44" t="s">
        <v>740</v>
      </c>
    </row>
    <row r="834" spans="1:2" x14ac:dyDescent="0.2">
      <c r="A834" s="73" t="s">
        <v>892</v>
      </c>
      <c r="B834" s="44" t="s">
        <v>821</v>
      </c>
    </row>
    <row r="835" spans="1:2" x14ac:dyDescent="0.2">
      <c r="A835" s="73" t="s">
        <v>332</v>
      </c>
      <c r="B835" s="44" t="s">
        <v>571</v>
      </c>
    </row>
    <row r="836" spans="1:2" x14ac:dyDescent="0.2">
      <c r="A836" s="44" t="s">
        <v>332</v>
      </c>
      <c r="B836" s="44" t="s">
        <v>0</v>
      </c>
    </row>
    <row r="837" spans="1:2" x14ac:dyDescent="0.2">
      <c r="A837" s="73" t="s">
        <v>419</v>
      </c>
      <c r="B837" s="44" t="s">
        <v>380</v>
      </c>
    </row>
    <row r="838" spans="1:2" x14ac:dyDescent="0.2">
      <c r="A838" s="44" t="s">
        <v>332</v>
      </c>
      <c r="B838" s="50"/>
    </row>
    <row r="839" spans="1:2" x14ac:dyDescent="0.2">
      <c r="A839" s="73" t="s">
        <v>404</v>
      </c>
      <c r="B839" s="44" t="s">
        <v>400</v>
      </c>
    </row>
    <row r="840" spans="1:2" x14ac:dyDescent="0.2">
      <c r="A840" s="73" t="s">
        <v>405</v>
      </c>
      <c r="B840" s="44" t="s">
        <v>401</v>
      </c>
    </row>
    <row r="841" spans="1:2" x14ac:dyDescent="0.2">
      <c r="A841" s="73" t="s">
        <v>406</v>
      </c>
      <c r="B841" s="44" t="s">
        <v>402</v>
      </c>
    </row>
    <row r="842" spans="1:2" x14ac:dyDescent="0.2">
      <c r="A842" s="73" t="s">
        <v>407</v>
      </c>
      <c r="B842" s="44" t="s">
        <v>403</v>
      </c>
    </row>
    <row r="843" spans="1:2" x14ac:dyDescent="0.2">
      <c r="A843" s="73" t="s">
        <v>410</v>
      </c>
      <c r="B843" s="50"/>
    </row>
    <row r="844" spans="1:2" x14ac:dyDescent="0.2">
      <c r="A844" s="73" t="s">
        <v>332</v>
      </c>
      <c r="B844" s="44"/>
    </row>
    <row r="845" spans="1:2" ht="25.5" x14ac:dyDescent="0.2">
      <c r="A845" s="73" t="s">
        <v>417</v>
      </c>
      <c r="B845" s="44" t="s">
        <v>237</v>
      </c>
    </row>
    <row r="846" spans="1:2" x14ac:dyDescent="0.2">
      <c r="A846" s="44" t="s">
        <v>332</v>
      </c>
      <c r="B846" s="44" t="s">
        <v>576</v>
      </c>
    </row>
    <row r="847" spans="1:2" x14ac:dyDescent="0.2">
      <c r="A847" s="73" t="s">
        <v>332</v>
      </c>
      <c r="B847" s="44" t="s">
        <v>572</v>
      </c>
    </row>
    <row r="848" spans="1:2" x14ac:dyDescent="0.2">
      <c r="A848" s="73" t="s">
        <v>396</v>
      </c>
      <c r="B848" s="50"/>
    </row>
    <row r="849" spans="1:2" x14ac:dyDescent="0.2">
      <c r="A849" s="44" t="s">
        <v>332</v>
      </c>
      <c r="B849" s="50"/>
    </row>
    <row r="850" spans="1:2" x14ac:dyDescent="0.2">
      <c r="A850" s="73" t="s">
        <v>397</v>
      </c>
      <c r="B850" s="50"/>
    </row>
    <row r="851" spans="1:2" x14ac:dyDescent="0.2">
      <c r="A851" s="73" t="s">
        <v>377</v>
      </c>
      <c r="B851" s="44" t="s">
        <v>559</v>
      </c>
    </row>
    <row r="852" spans="1:2" x14ac:dyDescent="0.2">
      <c r="A852" s="73" t="s">
        <v>565</v>
      </c>
      <c r="B852" s="44" t="s">
        <v>950</v>
      </c>
    </row>
    <row r="853" spans="1:2" x14ac:dyDescent="0.2">
      <c r="A853" s="73" t="s">
        <v>412</v>
      </c>
      <c r="B853" s="44" t="s">
        <v>408</v>
      </c>
    </row>
    <row r="854" spans="1:2" x14ac:dyDescent="0.2">
      <c r="A854" s="73" t="s">
        <v>413</v>
      </c>
      <c r="B854" s="44" t="s">
        <v>172</v>
      </c>
    </row>
    <row r="855" spans="1:2" x14ac:dyDescent="0.2">
      <c r="A855" s="73" t="s">
        <v>414</v>
      </c>
      <c r="B855" s="44" t="s">
        <v>174</v>
      </c>
    </row>
    <row r="856" spans="1:2" x14ac:dyDescent="0.2">
      <c r="A856" s="73" t="s">
        <v>415</v>
      </c>
      <c r="B856" s="44" t="s">
        <v>176</v>
      </c>
    </row>
    <row r="857" spans="1:2" x14ac:dyDescent="0.2">
      <c r="A857" s="73" t="s">
        <v>332</v>
      </c>
      <c r="B857" s="50"/>
    </row>
    <row r="858" spans="1:2" x14ac:dyDescent="0.2">
      <c r="A858" s="73" t="s">
        <v>375</v>
      </c>
      <c r="B858" s="50"/>
    </row>
    <row r="859" spans="1:2" x14ac:dyDescent="0.2">
      <c r="A859" s="44" t="s">
        <v>332</v>
      </c>
      <c r="B859" s="50"/>
    </row>
    <row r="860" spans="1:2" x14ac:dyDescent="0.2">
      <c r="A860" s="73" t="s">
        <v>388</v>
      </c>
      <c r="B860" s="50"/>
    </row>
    <row r="861" spans="1:2" x14ac:dyDescent="0.2">
      <c r="A861" s="73" t="s">
        <v>332</v>
      </c>
      <c r="B861" s="50"/>
    </row>
    <row r="862" spans="1:2" x14ac:dyDescent="0.2">
      <c r="A862" s="73" t="s">
        <v>332</v>
      </c>
      <c r="B862" s="44" t="s">
        <v>570</v>
      </c>
    </row>
    <row r="863" spans="1:2" x14ac:dyDescent="0.2">
      <c r="A863" s="73" t="s">
        <v>332</v>
      </c>
      <c r="B863" s="44"/>
    </row>
    <row r="864" spans="1:2" x14ac:dyDescent="0.2">
      <c r="A864" s="73" t="s">
        <v>332</v>
      </c>
      <c r="B864" s="44" t="s">
        <v>568</v>
      </c>
    </row>
    <row r="865" spans="1:2" x14ac:dyDescent="0.2">
      <c r="A865" s="73" t="s">
        <v>332</v>
      </c>
      <c r="B865" s="44"/>
    </row>
    <row r="866" spans="1:2" x14ac:dyDescent="0.2">
      <c r="A866" s="73" t="s">
        <v>387</v>
      </c>
      <c r="B866" s="44" t="s">
        <v>567</v>
      </c>
    </row>
    <row r="867" spans="1:2" x14ac:dyDescent="0.2">
      <c r="A867" s="73" t="s">
        <v>332</v>
      </c>
      <c r="B867" s="44"/>
    </row>
    <row r="868" spans="1:2" x14ac:dyDescent="0.2">
      <c r="A868" s="73" t="s">
        <v>376</v>
      </c>
      <c r="B868" s="44" t="s">
        <v>773</v>
      </c>
    </row>
    <row r="869" spans="1:2" x14ac:dyDescent="0.2">
      <c r="A869" s="73" t="s">
        <v>332</v>
      </c>
      <c r="B869" s="44"/>
    </row>
    <row r="870" spans="1:2" x14ac:dyDescent="0.2">
      <c r="A870" s="73" t="s">
        <v>409</v>
      </c>
      <c r="B870" s="44" t="s">
        <v>774</v>
      </c>
    </row>
    <row r="871" spans="1:2" x14ac:dyDescent="0.2">
      <c r="A871" s="44" t="s">
        <v>332</v>
      </c>
      <c r="B871" s="44" t="s">
        <v>946</v>
      </c>
    </row>
    <row r="872" spans="1:2" x14ac:dyDescent="0.2">
      <c r="A872" s="44" t="s">
        <v>332</v>
      </c>
      <c r="B872" s="44" t="s">
        <v>947</v>
      </c>
    </row>
    <row r="873" spans="1:2" x14ac:dyDescent="0.2">
      <c r="A873" s="44" t="s">
        <v>729</v>
      </c>
      <c r="B873" s="44" t="s">
        <v>948</v>
      </c>
    </row>
    <row r="874" spans="1:2" x14ac:dyDescent="0.2">
      <c r="A874" s="44" t="s">
        <v>730</v>
      </c>
      <c r="B874" s="44" t="s">
        <v>949</v>
      </c>
    </row>
    <row r="875" spans="1:2" x14ac:dyDescent="0.2">
      <c r="A875" s="44" t="s">
        <v>377</v>
      </c>
      <c r="B875" s="44" t="s">
        <v>559</v>
      </c>
    </row>
    <row r="876" spans="1:2" x14ac:dyDescent="0.2">
      <c r="A876" s="44" t="s">
        <v>378</v>
      </c>
      <c r="B876" s="44" t="s">
        <v>562</v>
      </c>
    </row>
    <row r="877" spans="1:2" x14ac:dyDescent="0.2">
      <c r="A877" s="44" t="s">
        <v>565</v>
      </c>
      <c r="B877" s="44" t="s">
        <v>564</v>
      </c>
    </row>
    <row r="878" spans="1:2" x14ac:dyDescent="0.2">
      <c r="A878" s="44" t="s">
        <v>332</v>
      </c>
      <c r="B878" s="44" t="s">
        <v>389</v>
      </c>
    </row>
    <row r="879" spans="1:2" x14ac:dyDescent="0.2">
      <c r="A879" s="44" t="s">
        <v>332</v>
      </c>
      <c r="B879" s="44" t="s">
        <v>568</v>
      </c>
    </row>
    <row r="880" spans="1:2" x14ac:dyDescent="0.2">
      <c r="A880" s="44" t="s">
        <v>381</v>
      </c>
      <c r="B880" s="44" t="s">
        <v>379</v>
      </c>
    </row>
    <row r="881" spans="1:2" x14ac:dyDescent="0.2">
      <c r="A881" s="44" t="s">
        <v>332</v>
      </c>
      <c r="B881" s="44" t="s">
        <v>0</v>
      </c>
    </row>
    <row r="882" spans="1:2" x14ac:dyDescent="0.2">
      <c r="A882" s="44" t="s">
        <v>382</v>
      </c>
      <c r="B882" s="44" t="s">
        <v>26</v>
      </c>
    </row>
    <row r="883" spans="1:2" x14ac:dyDescent="0.2">
      <c r="A883" s="44" t="s">
        <v>383</v>
      </c>
      <c r="B883" s="44" t="s">
        <v>390</v>
      </c>
    </row>
    <row r="884" spans="1:2" x14ac:dyDescent="0.2">
      <c r="A884" s="44" t="s">
        <v>385</v>
      </c>
      <c r="B884" s="44" t="s">
        <v>391</v>
      </c>
    </row>
    <row r="885" spans="1:2" x14ac:dyDescent="0.2">
      <c r="A885" s="44" t="s">
        <v>384</v>
      </c>
      <c r="B885" s="44" t="s">
        <v>392</v>
      </c>
    </row>
    <row r="886" spans="1:2" x14ac:dyDescent="0.2">
      <c r="A886" s="44" t="s">
        <v>386</v>
      </c>
      <c r="B886" s="44" t="s">
        <v>393</v>
      </c>
    </row>
    <row r="887" spans="1:2" x14ac:dyDescent="0.2">
      <c r="A887" s="44" t="s">
        <v>332</v>
      </c>
      <c r="B887" s="44" t="s">
        <v>569</v>
      </c>
    </row>
    <row r="888" spans="1:2" x14ac:dyDescent="0.2">
      <c r="A888" s="44" t="s">
        <v>332</v>
      </c>
      <c r="B888" s="44" t="s">
        <v>572</v>
      </c>
    </row>
    <row r="889" spans="1:2" x14ac:dyDescent="0.2">
      <c r="A889" s="44" t="s">
        <v>332</v>
      </c>
      <c r="B889" s="44" t="s">
        <v>566</v>
      </c>
    </row>
    <row r="890" spans="1:2" x14ac:dyDescent="0.2">
      <c r="A890" s="44" t="s">
        <v>332</v>
      </c>
      <c r="B890" s="44" t="s">
        <v>574</v>
      </c>
    </row>
    <row r="891" spans="1:2" x14ac:dyDescent="0.2">
      <c r="A891" s="44" t="s">
        <v>332</v>
      </c>
      <c r="B891" s="44" t="s">
        <v>394</v>
      </c>
    </row>
    <row r="892" spans="1:2" x14ac:dyDescent="0.2">
      <c r="A892" s="44" t="s">
        <v>332</v>
      </c>
      <c r="B892" s="44" t="s">
        <v>576</v>
      </c>
    </row>
    <row r="893" spans="1:2" x14ac:dyDescent="0.2">
      <c r="A893" s="73" t="s">
        <v>608</v>
      </c>
      <c r="B893" s="44" t="s">
        <v>605</v>
      </c>
    </row>
    <row r="894" spans="1:2" x14ac:dyDescent="0.2">
      <c r="A894" s="73" t="s">
        <v>609</v>
      </c>
      <c r="B894" s="44" t="s">
        <v>604</v>
      </c>
    </row>
    <row r="895" spans="1:2" x14ac:dyDescent="0.2">
      <c r="A895" s="73" t="s">
        <v>620</v>
      </c>
      <c r="B895" s="44" t="s">
        <v>166</v>
      </c>
    </row>
    <row r="896" spans="1:2" x14ac:dyDescent="0.2">
      <c r="A896" s="73" t="s">
        <v>332</v>
      </c>
      <c r="B896" s="44" t="s">
        <v>568</v>
      </c>
    </row>
    <row r="897" spans="1:2" x14ac:dyDescent="0.2">
      <c r="A897" s="73" t="s">
        <v>525</v>
      </c>
      <c r="B897" s="44" t="s">
        <v>606</v>
      </c>
    </row>
    <row r="898" spans="1:2" x14ac:dyDescent="0.2">
      <c r="A898" s="73" t="s">
        <v>610</v>
      </c>
      <c r="B898" s="44" t="s">
        <v>367</v>
      </c>
    </row>
    <row r="899" spans="1:2" x14ac:dyDescent="0.2">
      <c r="A899" s="44" t="s">
        <v>616</v>
      </c>
      <c r="B899" s="44" t="s">
        <v>617</v>
      </c>
    </row>
    <row r="900" spans="1:2" x14ac:dyDescent="0.2">
      <c r="A900" s="44" t="s">
        <v>619</v>
      </c>
      <c r="B900" s="44" t="s">
        <v>607</v>
      </c>
    </row>
    <row r="901" spans="1:2" x14ac:dyDescent="0.2">
      <c r="A901" s="44" t="s">
        <v>621</v>
      </c>
      <c r="B901" s="44" t="s">
        <v>255</v>
      </c>
    </row>
    <row r="902" spans="1:2" x14ac:dyDescent="0.2">
      <c r="A902" s="73" t="s">
        <v>668</v>
      </c>
      <c r="B902" s="44" t="s">
        <v>669</v>
      </c>
    </row>
    <row r="903" spans="1:2" x14ac:dyDescent="0.2">
      <c r="A903" s="73" t="s">
        <v>613</v>
      </c>
      <c r="B903" s="44" t="s">
        <v>1216</v>
      </c>
    </row>
    <row r="904" spans="1:2" x14ac:dyDescent="0.2">
      <c r="A904" s="73" t="s">
        <v>622</v>
      </c>
      <c r="B904" s="44" t="s">
        <v>1217</v>
      </c>
    </row>
    <row r="905" spans="1:2" x14ac:dyDescent="0.2">
      <c r="A905" s="44" t="s">
        <v>614</v>
      </c>
      <c r="B905" s="44" t="s">
        <v>1218</v>
      </c>
    </row>
    <row r="906" spans="1:2" x14ac:dyDescent="0.2">
      <c r="A906" s="44" t="s">
        <v>623</v>
      </c>
      <c r="B906" s="44" t="s">
        <v>1219</v>
      </c>
    </row>
    <row r="907" spans="1:2" x14ac:dyDescent="0.2">
      <c r="A907" s="44" t="s">
        <v>624</v>
      </c>
      <c r="B907" s="44" t="s">
        <v>1220</v>
      </c>
    </row>
    <row r="908" spans="1:2" x14ac:dyDescent="0.2">
      <c r="A908" s="44" t="s">
        <v>387</v>
      </c>
      <c r="B908" s="44" t="s">
        <v>567</v>
      </c>
    </row>
    <row r="909" spans="1:2" x14ac:dyDescent="0.2">
      <c r="A909" s="73" t="s">
        <v>668</v>
      </c>
      <c r="B909" s="44"/>
    </row>
    <row r="910" spans="1:2" x14ac:dyDescent="0.2">
      <c r="A910" s="73" t="s">
        <v>332</v>
      </c>
      <c r="B910" s="44"/>
    </row>
    <row r="911" spans="1:2" x14ac:dyDescent="0.2">
      <c r="A911" s="44" t="s">
        <v>332</v>
      </c>
      <c r="B911" s="44" t="s">
        <v>576</v>
      </c>
    </row>
    <row r="912" spans="1:2" ht="25.5" x14ac:dyDescent="0.2">
      <c r="A912" s="73" t="s">
        <v>746</v>
      </c>
      <c r="B912" s="44" t="s">
        <v>745</v>
      </c>
    </row>
    <row r="913" spans="1:2" x14ac:dyDescent="0.2">
      <c r="A913" s="44" t="s">
        <v>668</v>
      </c>
      <c r="B913" s="44"/>
    </row>
    <row r="914" spans="1:2" x14ac:dyDescent="0.2">
      <c r="A914" s="44" t="s">
        <v>878</v>
      </c>
      <c r="B914" s="44"/>
    </row>
    <row r="915" spans="1:2" x14ac:dyDescent="0.2">
      <c r="A915" s="44" t="s">
        <v>877</v>
      </c>
      <c r="B915" s="44"/>
    </row>
    <row r="916" spans="1:2" x14ac:dyDescent="0.2">
      <c r="A916" s="73" t="s">
        <v>565</v>
      </c>
      <c r="B916" s="44"/>
    </row>
    <row r="917" spans="1:2" x14ac:dyDescent="0.2">
      <c r="A917" s="44" t="s">
        <v>248</v>
      </c>
      <c r="B917" s="44"/>
    </row>
    <row r="918" spans="1:2" x14ac:dyDescent="0.2">
      <c r="A918" s="73" t="s">
        <v>386</v>
      </c>
      <c r="B918" s="50"/>
    </row>
    <row r="919" spans="1:2" x14ac:dyDescent="0.2">
      <c r="A919" s="44" t="s">
        <v>1052</v>
      </c>
      <c r="B919" s="43"/>
    </row>
    <row r="920" spans="1:2" x14ac:dyDescent="0.2">
      <c r="A920" s="44" t="s">
        <v>1055</v>
      </c>
      <c r="B920" s="43"/>
    </row>
    <row r="921" spans="1:2" x14ac:dyDescent="0.2">
      <c r="A921" s="44" t="s">
        <v>778</v>
      </c>
      <c r="B921" s="43"/>
    </row>
    <row r="922" spans="1:2" x14ac:dyDescent="0.2">
      <c r="A922" s="44" t="s">
        <v>775</v>
      </c>
      <c r="B922" s="43"/>
    </row>
    <row r="923" spans="1:2" x14ac:dyDescent="0.2">
      <c r="A923" s="44" t="s">
        <v>880</v>
      </c>
      <c r="B923" s="43"/>
    </row>
    <row r="924" spans="1:2" x14ac:dyDescent="0.2">
      <c r="A924" s="44" t="s">
        <v>570</v>
      </c>
      <c r="B924" s="43"/>
    </row>
    <row r="925" spans="1:2" x14ac:dyDescent="0.2">
      <c r="A925" s="44" t="s">
        <v>562</v>
      </c>
      <c r="B925" s="43"/>
    </row>
    <row r="926" spans="1:2" x14ac:dyDescent="0.2">
      <c r="A926" s="44" t="s">
        <v>779</v>
      </c>
      <c r="B926" s="43"/>
    </row>
    <row r="927" spans="1:2" x14ac:dyDescent="0.2">
      <c r="A927" s="44" t="s">
        <v>564</v>
      </c>
      <c r="B927" s="43"/>
    </row>
    <row r="928" spans="1:2" x14ac:dyDescent="0.2">
      <c r="A928" s="44" t="s">
        <v>559</v>
      </c>
      <c r="B928" s="43"/>
    </row>
    <row r="929" spans="1:2" x14ac:dyDescent="0.2">
      <c r="A929" s="44" t="s">
        <v>572</v>
      </c>
      <c r="B929" s="43"/>
    </row>
    <row r="930" spans="1:2" x14ac:dyDescent="0.2">
      <c r="A930" s="44" t="s">
        <v>776</v>
      </c>
      <c r="B930" s="43"/>
    </row>
    <row r="931" spans="1:2" x14ac:dyDescent="0.2">
      <c r="A931" s="44" t="s">
        <v>669</v>
      </c>
      <c r="B931" s="43"/>
    </row>
    <row r="932" spans="1:2" x14ac:dyDescent="0.2">
      <c r="A932" s="44" t="s">
        <v>392</v>
      </c>
      <c r="B932" s="43"/>
    </row>
    <row r="933" spans="1:2" x14ac:dyDescent="0.2">
      <c r="A933" s="44" t="s">
        <v>636</v>
      </c>
      <c r="B933" s="43"/>
    </row>
    <row r="934" spans="1:2" x14ac:dyDescent="0.2">
      <c r="A934" s="44" t="s">
        <v>637</v>
      </c>
      <c r="B934" s="43"/>
    </row>
    <row r="935" spans="1:2" x14ac:dyDescent="0.2">
      <c r="A935" s="44" t="s">
        <v>1001</v>
      </c>
      <c r="B935" s="43"/>
    </row>
    <row r="936" spans="1:2" x14ac:dyDescent="0.2">
      <c r="A936" s="44" t="s">
        <v>1002</v>
      </c>
      <c r="B936" s="43"/>
    </row>
    <row r="937" spans="1:2" x14ac:dyDescent="0.2">
      <c r="A937" s="44" t="s">
        <v>1004</v>
      </c>
      <c r="B937" s="43"/>
    </row>
    <row r="938" spans="1:2" x14ac:dyDescent="0.2">
      <c r="A938" s="44" t="s">
        <v>1006</v>
      </c>
      <c r="B938" s="43"/>
    </row>
    <row r="939" spans="1:2" x14ac:dyDescent="0.2">
      <c r="A939" s="44" t="s">
        <v>1008</v>
      </c>
      <c r="B939" s="43"/>
    </row>
    <row r="940" spans="1:2" x14ac:dyDescent="0.2">
      <c r="A940" s="44" t="s">
        <v>629</v>
      </c>
      <c r="B940" s="43"/>
    </row>
    <row r="941" spans="1:2" x14ac:dyDescent="0.2">
      <c r="A941" s="44" t="s">
        <v>630</v>
      </c>
      <c r="B941" s="43"/>
    </row>
    <row r="942" spans="1:2" x14ac:dyDescent="0.2">
      <c r="A942" s="54" t="s">
        <v>631</v>
      </c>
      <c r="B942" s="43"/>
    </row>
    <row r="943" spans="1:2" x14ac:dyDescent="0.2">
      <c r="A943" s="44" t="s">
        <v>632</v>
      </c>
      <c r="B943" s="43"/>
    </row>
    <row r="944" spans="1:2" x14ac:dyDescent="0.2">
      <c r="A944" s="44" t="s">
        <v>633</v>
      </c>
      <c r="B944" s="43"/>
    </row>
    <row r="945" spans="1:2" x14ac:dyDescent="0.2">
      <c r="A945" s="44" t="s">
        <v>634</v>
      </c>
      <c r="B945" s="43"/>
    </row>
    <row r="946" spans="1:2" x14ac:dyDescent="0.2">
      <c r="A946" s="44" t="s">
        <v>635</v>
      </c>
      <c r="B946" s="43"/>
    </row>
    <row r="947" spans="1:2" x14ac:dyDescent="0.2">
      <c r="A947" s="44" t="s">
        <v>636</v>
      </c>
      <c r="B947" s="43"/>
    </row>
    <row r="948" spans="1:2" x14ac:dyDescent="0.2">
      <c r="A948" s="44" t="s">
        <v>637</v>
      </c>
      <c r="B948" s="43"/>
    </row>
    <row r="949" spans="1:2" x14ac:dyDescent="0.2">
      <c r="A949" s="44" t="s">
        <v>638</v>
      </c>
      <c r="B949" s="43"/>
    </row>
    <row r="950" spans="1:2" x14ac:dyDescent="0.2">
      <c r="A950" s="44" t="s">
        <v>640</v>
      </c>
      <c r="B950" s="43"/>
    </row>
    <row r="951" spans="1:2" x14ac:dyDescent="0.2">
      <c r="A951" s="44" t="s">
        <v>641</v>
      </c>
      <c r="B951" s="43"/>
    </row>
    <row r="952" spans="1:2" x14ac:dyDescent="0.2">
      <c r="A952" s="44" t="s">
        <v>642</v>
      </c>
      <c r="B952" s="43"/>
    </row>
    <row r="953" spans="1:2" x14ac:dyDescent="0.2">
      <c r="A953" s="44" t="s">
        <v>643</v>
      </c>
      <c r="B953" s="43"/>
    </row>
    <row r="954" spans="1:2" x14ac:dyDescent="0.2">
      <c r="A954" s="44" t="s">
        <v>644</v>
      </c>
      <c r="B954" s="43"/>
    </row>
    <row r="955" spans="1:2" x14ac:dyDescent="0.2">
      <c r="A955" s="44" t="s">
        <v>46</v>
      </c>
      <c r="B955" s="43"/>
    </row>
    <row r="956" spans="1:2" x14ac:dyDescent="0.2">
      <c r="A956" s="44" t="s">
        <v>697</v>
      </c>
      <c r="B956" s="43"/>
    </row>
    <row r="957" spans="1:2" x14ac:dyDescent="0.2">
      <c r="A957" s="44" t="s">
        <v>656</v>
      </c>
      <c r="B957" s="43"/>
    </row>
    <row r="958" spans="1:2" x14ac:dyDescent="0.2">
      <c r="A958" s="44" t="s">
        <v>564</v>
      </c>
      <c r="B958" s="43"/>
    </row>
    <row r="959" spans="1:2" x14ac:dyDescent="0.2">
      <c r="A959" s="44" t="s">
        <v>989</v>
      </c>
      <c r="B959" s="43"/>
    </row>
    <row r="960" spans="1:2" x14ac:dyDescent="0.2">
      <c r="A960" s="44" t="s">
        <v>636</v>
      </c>
      <c r="B960" s="43"/>
    </row>
    <row r="961" spans="1:2" x14ac:dyDescent="0.2">
      <c r="A961" s="44" t="s">
        <v>637</v>
      </c>
      <c r="B961" s="43"/>
    </row>
    <row r="962" spans="1:2" x14ac:dyDescent="0.2">
      <c r="A962" s="44" t="s">
        <v>990</v>
      </c>
      <c r="B962" s="43"/>
    </row>
    <row r="963" spans="1:2" x14ac:dyDescent="0.2">
      <c r="A963" s="44" t="s">
        <v>992</v>
      </c>
      <c r="B963" s="43"/>
    </row>
    <row r="964" spans="1:2" x14ac:dyDescent="0.2">
      <c r="A964" s="44" t="s">
        <v>740</v>
      </c>
      <c r="B964" s="43"/>
    </row>
    <row r="965" spans="1:2" x14ac:dyDescent="0.2">
      <c r="A965" s="44" t="s">
        <v>821</v>
      </c>
      <c r="B965" s="43"/>
    </row>
    <row r="966" spans="1:2" x14ac:dyDescent="0.2">
      <c r="A966" s="44" t="s">
        <v>571</v>
      </c>
      <c r="B966" s="112" t="s">
        <v>742</v>
      </c>
    </row>
    <row r="967" spans="1:2" x14ac:dyDescent="0.2">
      <c r="A967" s="44" t="s">
        <v>0</v>
      </c>
      <c r="B967" s="112" t="s">
        <v>742</v>
      </c>
    </row>
    <row r="968" spans="1:2" x14ac:dyDescent="0.2">
      <c r="A968" s="44" t="s">
        <v>380</v>
      </c>
      <c r="B968" s="112" t="s">
        <v>742</v>
      </c>
    </row>
    <row r="969" spans="1:2" x14ac:dyDescent="0.2">
      <c r="A969" s="50"/>
      <c r="B969" s="112" t="s">
        <v>742</v>
      </c>
    </row>
    <row r="970" spans="1:2" x14ac:dyDescent="0.2">
      <c r="A970" s="44" t="s">
        <v>400</v>
      </c>
      <c r="B970" s="112" t="s">
        <v>742</v>
      </c>
    </row>
    <row r="971" spans="1:2" x14ac:dyDescent="0.2">
      <c r="A971" s="44" t="s">
        <v>401</v>
      </c>
      <c r="B971" s="112" t="s">
        <v>742</v>
      </c>
    </row>
    <row r="972" spans="1:2" x14ac:dyDescent="0.2">
      <c r="A972" s="44" t="s">
        <v>402</v>
      </c>
      <c r="B972" s="112" t="s">
        <v>742</v>
      </c>
    </row>
    <row r="973" spans="1:2" x14ac:dyDescent="0.2">
      <c r="A973" s="44" t="s">
        <v>403</v>
      </c>
      <c r="B973" s="112" t="s">
        <v>742</v>
      </c>
    </row>
    <row r="974" spans="1:2" x14ac:dyDescent="0.2">
      <c r="A974" s="50"/>
      <c r="B974" s="112" t="s">
        <v>742</v>
      </c>
    </row>
    <row r="975" spans="1:2" x14ac:dyDescent="0.2">
      <c r="A975" s="44"/>
      <c r="B975" s="112" t="s">
        <v>742</v>
      </c>
    </row>
    <row r="976" spans="1:2" x14ac:dyDescent="0.2">
      <c r="A976" s="44" t="s">
        <v>237</v>
      </c>
      <c r="B976" s="112" t="s">
        <v>742</v>
      </c>
    </row>
    <row r="977" spans="1:2" x14ac:dyDescent="0.2">
      <c r="A977" s="44" t="s">
        <v>576</v>
      </c>
      <c r="B977" s="112" t="s">
        <v>742</v>
      </c>
    </row>
    <row r="978" spans="1:2" x14ac:dyDescent="0.2">
      <c r="A978" s="44" t="s">
        <v>572</v>
      </c>
      <c r="B978" s="112" t="s">
        <v>742</v>
      </c>
    </row>
    <row r="979" spans="1:2" x14ac:dyDescent="0.2">
      <c r="A979" s="50"/>
      <c r="B979" s="112" t="s">
        <v>742</v>
      </c>
    </row>
    <row r="980" spans="1:2" x14ac:dyDescent="0.2">
      <c r="A980" s="50"/>
      <c r="B980" s="112" t="s">
        <v>742</v>
      </c>
    </row>
    <row r="981" spans="1:2" x14ac:dyDescent="0.2">
      <c r="A981" s="50"/>
      <c r="B981" s="112" t="s">
        <v>742</v>
      </c>
    </row>
    <row r="982" spans="1:2" x14ac:dyDescent="0.2">
      <c r="A982" s="44" t="s">
        <v>559</v>
      </c>
      <c r="B982" s="112" t="s">
        <v>742</v>
      </c>
    </row>
    <row r="983" spans="1:2" x14ac:dyDescent="0.2">
      <c r="A983" s="44" t="s">
        <v>950</v>
      </c>
      <c r="B983" s="112" t="s">
        <v>742</v>
      </c>
    </row>
    <row r="984" spans="1:2" x14ac:dyDescent="0.2">
      <c r="A984" s="44" t="s">
        <v>408</v>
      </c>
      <c r="B984" s="112" t="s">
        <v>742</v>
      </c>
    </row>
    <row r="985" spans="1:2" x14ac:dyDescent="0.2">
      <c r="A985" s="44" t="s">
        <v>172</v>
      </c>
      <c r="B985" s="112" t="s">
        <v>742</v>
      </c>
    </row>
    <row r="986" spans="1:2" x14ac:dyDescent="0.2">
      <c r="A986" s="44" t="s">
        <v>174</v>
      </c>
      <c r="B986" s="112" t="s">
        <v>742</v>
      </c>
    </row>
    <row r="987" spans="1:2" x14ac:dyDescent="0.2">
      <c r="A987" s="44" t="s">
        <v>176</v>
      </c>
      <c r="B987" s="112" t="s">
        <v>742</v>
      </c>
    </row>
    <row r="988" spans="1:2" x14ac:dyDescent="0.2">
      <c r="A988" s="50"/>
      <c r="B988" s="112" t="s">
        <v>742</v>
      </c>
    </row>
    <row r="989" spans="1:2" x14ac:dyDescent="0.2">
      <c r="A989" s="50"/>
      <c r="B989" s="112" t="s">
        <v>742</v>
      </c>
    </row>
    <row r="990" spans="1:2" x14ac:dyDescent="0.2">
      <c r="A990" s="50"/>
      <c r="B990" s="112" t="s">
        <v>742</v>
      </c>
    </row>
    <row r="991" spans="1:2" x14ac:dyDescent="0.2">
      <c r="A991" s="50"/>
      <c r="B991" s="112" t="s">
        <v>742</v>
      </c>
    </row>
    <row r="992" spans="1:2" x14ac:dyDescent="0.2">
      <c r="A992" s="50"/>
      <c r="B992" s="112" t="s">
        <v>742</v>
      </c>
    </row>
    <row r="993" spans="1:2" x14ac:dyDescent="0.2">
      <c r="A993" s="44" t="s">
        <v>570</v>
      </c>
      <c r="B993" s="112" t="s">
        <v>742</v>
      </c>
    </row>
    <row r="994" spans="1:2" x14ac:dyDescent="0.2">
      <c r="A994" s="44"/>
      <c r="B994" s="112" t="s">
        <v>742</v>
      </c>
    </row>
    <row r="995" spans="1:2" x14ac:dyDescent="0.2">
      <c r="A995" s="44" t="s">
        <v>568</v>
      </c>
      <c r="B995" s="112" t="s">
        <v>742</v>
      </c>
    </row>
    <row r="996" spans="1:2" x14ac:dyDescent="0.2">
      <c r="A996" s="44"/>
      <c r="B996" s="112" t="s">
        <v>742</v>
      </c>
    </row>
    <row r="997" spans="1:2" x14ac:dyDescent="0.2">
      <c r="A997" s="44" t="s">
        <v>567</v>
      </c>
      <c r="B997" s="112" t="s">
        <v>742</v>
      </c>
    </row>
    <row r="998" spans="1:2" x14ac:dyDescent="0.2">
      <c r="A998" s="44"/>
      <c r="B998" s="112" t="s">
        <v>742</v>
      </c>
    </row>
    <row r="999" spans="1:2" x14ac:dyDescent="0.2">
      <c r="A999" s="44" t="s">
        <v>773</v>
      </c>
      <c r="B999" s="112" t="s">
        <v>742</v>
      </c>
    </row>
    <row r="1000" spans="1:2" x14ac:dyDescent="0.2">
      <c r="A1000" s="44"/>
      <c r="B1000" s="112" t="s">
        <v>742</v>
      </c>
    </row>
    <row r="1001" spans="1:2" x14ac:dyDescent="0.2">
      <c r="A1001" s="44" t="s">
        <v>774</v>
      </c>
      <c r="B1001" s="112" t="s">
        <v>742</v>
      </c>
    </row>
    <row r="1002" spans="1:2" x14ac:dyDescent="0.2">
      <c r="A1002" s="44" t="s">
        <v>946</v>
      </c>
      <c r="B1002" s="112" t="s">
        <v>742</v>
      </c>
    </row>
    <row r="1003" spans="1:2" x14ac:dyDescent="0.2">
      <c r="A1003" s="44" t="s">
        <v>947</v>
      </c>
      <c r="B1003" s="112" t="s">
        <v>742</v>
      </c>
    </row>
    <row r="1004" spans="1:2" x14ac:dyDescent="0.2">
      <c r="A1004" s="44" t="s">
        <v>948</v>
      </c>
      <c r="B1004" s="112" t="s">
        <v>742</v>
      </c>
    </row>
    <row r="1005" spans="1:2" x14ac:dyDescent="0.2">
      <c r="A1005" s="44" t="s">
        <v>949</v>
      </c>
      <c r="B1005" s="112" t="s">
        <v>742</v>
      </c>
    </row>
    <row r="1006" spans="1:2" x14ac:dyDescent="0.2">
      <c r="A1006" s="44" t="s">
        <v>559</v>
      </c>
      <c r="B1006" s="44" t="s">
        <v>1313</v>
      </c>
    </row>
    <row r="1007" spans="1:2" x14ac:dyDescent="0.2">
      <c r="A1007" s="44" t="s">
        <v>562</v>
      </c>
      <c r="B1007" s="44" t="s">
        <v>1313</v>
      </c>
    </row>
    <row r="1008" spans="1:2" x14ac:dyDescent="0.2">
      <c r="A1008" s="44" t="s">
        <v>564</v>
      </c>
      <c r="B1008" s="44" t="s">
        <v>1313</v>
      </c>
    </row>
    <row r="1009" spans="1:2" x14ac:dyDescent="0.2">
      <c r="A1009" s="44" t="s">
        <v>389</v>
      </c>
      <c r="B1009" s="44" t="s">
        <v>1313</v>
      </c>
    </row>
    <row r="1010" spans="1:2" x14ac:dyDescent="0.2">
      <c r="A1010" s="44" t="s">
        <v>568</v>
      </c>
      <c r="B1010" s="44" t="s">
        <v>1313</v>
      </c>
    </row>
    <row r="1011" spans="1:2" x14ac:dyDescent="0.2">
      <c r="A1011" s="44" t="s">
        <v>379</v>
      </c>
      <c r="B1011" s="44" t="s">
        <v>1313</v>
      </c>
    </row>
    <row r="1012" spans="1:2" x14ac:dyDescent="0.2">
      <c r="A1012" s="44" t="s">
        <v>0</v>
      </c>
      <c r="B1012" s="44" t="s">
        <v>1313</v>
      </c>
    </row>
    <row r="1013" spans="1:2" x14ac:dyDescent="0.2">
      <c r="A1013" s="44" t="s">
        <v>26</v>
      </c>
      <c r="B1013" s="44" t="s">
        <v>1313</v>
      </c>
    </row>
    <row r="1014" spans="1:2" x14ac:dyDescent="0.2">
      <c r="A1014" s="44" t="s">
        <v>390</v>
      </c>
      <c r="B1014" s="44" t="s">
        <v>1313</v>
      </c>
    </row>
    <row r="1015" spans="1:2" x14ac:dyDescent="0.2">
      <c r="A1015" s="44" t="s">
        <v>391</v>
      </c>
      <c r="B1015" s="44" t="s">
        <v>1313</v>
      </c>
    </row>
    <row r="1016" spans="1:2" x14ac:dyDescent="0.2">
      <c r="A1016" s="44" t="s">
        <v>392</v>
      </c>
      <c r="B1016" s="44" t="s">
        <v>1313</v>
      </c>
    </row>
    <row r="1017" spans="1:2" x14ac:dyDescent="0.2">
      <c r="A1017" s="44" t="s">
        <v>393</v>
      </c>
      <c r="B1017" s="44" t="s">
        <v>1313</v>
      </c>
    </row>
    <row r="1018" spans="1:2" x14ac:dyDescent="0.2">
      <c r="A1018" s="44" t="s">
        <v>569</v>
      </c>
      <c r="B1018" s="44" t="s">
        <v>1313</v>
      </c>
    </row>
    <row r="1019" spans="1:2" x14ac:dyDescent="0.2">
      <c r="A1019" s="44" t="s">
        <v>572</v>
      </c>
      <c r="B1019" s="44" t="s">
        <v>1313</v>
      </c>
    </row>
    <row r="1020" spans="1:2" x14ac:dyDescent="0.2">
      <c r="A1020" s="44" t="s">
        <v>566</v>
      </c>
      <c r="B1020" s="44" t="s">
        <v>1313</v>
      </c>
    </row>
    <row r="1021" spans="1:2" x14ac:dyDescent="0.2">
      <c r="A1021" s="44" t="s">
        <v>574</v>
      </c>
      <c r="B1021" s="44" t="s">
        <v>1313</v>
      </c>
    </row>
    <row r="1022" spans="1:2" x14ac:dyDescent="0.2">
      <c r="A1022" s="44" t="s">
        <v>394</v>
      </c>
      <c r="B1022" s="44" t="s">
        <v>1313</v>
      </c>
    </row>
    <row r="1023" spans="1:2" x14ac:dyDescent="0.2">
      <c r="A1023" s="44" t="s">
        <v>576</v>
      </c>
      <c r="B1023" s="44" t="s">
        <v>1313</v>
      </c>
    </row>
    <row r="1024" spans="1:2" x14ac:dyDescent="0.2">
      <c r="A1024" s="44" t="s">
        <v>605</v>
      </c>
      <c r="B1024" s="125"/>
    </row>
    <row r="1025" spans="1:2" ht="15" x14ac:dyDescent="0.25">
      <c r="A1025" s="44" t="s">
        <v>604</v>
      </c>
      <c r="B1025"/>
    </row>
    <row r="1026" spans="1:2" ht="15" x14ac:dyDescent="0.25">
      <c r="A1026" s="44" t="s">
        <v>166</v>
      </c>
      <c r="B1026"/>
    </row>
    <row r="1027" spans="1:2" x14ac:dyDescent="0.2">
      <c r="A1027" s="44" t="s">
        <v>568</v>
      </c>
      <c r="B1027" s="125"/>
    </row>
    <row r="1028" spans="1:2" x14ac:dyDescent="0.2">
      <c r="A1028" s="44" t="s">
        <v>606</v>
      </c>
      <c r="B1028" s="125"/>
    </row>
    <row r="1029" spans="1:2" ht="15" x14ac:dyDescent="0.2">
      <c r="A1029" s="44" t="s">
        <v>367</v>
      </c>
      <c r="B1029" s="126"/>
    </row>
    <row r="1030" spans="1:2" x14ac:dyDescent="0.2">
      <c r="A1030" s="44" t="s">
        <v>617</v>
      </c>
      <c r="B1030" s="125"/>
    </row>
    <row r="1031" spans="1:2" x14ac:dyDescent="0.2">
      <c r="A1031" s="44" t="s">
        <v>607</v>
      </c>
    </row>
    <row r="1032" spans="1:2" x14ac:dyDescent="0.2">
      <c r="A1032" s="44" t="s">
        <v>255</v>
      </c>
    </row>
    <row r="1033" spans="1:2" x14ac:dyDescent="0.2">
      <c r="A1033" s="44" t="s">
        <v>669</v>
      </c>
    </row>
    <row r="1034" spans="1:2" x14ac:dyDescent="0.2">
      <c r="A1034" s="44" t="s">
        <v>1216</v>
      </c>
    </row>
    <row r="1035" spans="1:2" x14ac:dyDescent="0.2">
      <c r="A1035" s="44" t="s">
        <v>1217</v>
      </c>
    </row>
    <row r="1036" spans="1:2" x14ac:dyDescent="0.2">
      <c r="A1036" s="44" t="s">
        <v>1218</v>
      </c>
    </row>
    <row r="1037" spans="1:2" x14ac:dyDescent="0.2">
      <c r="A1037" s="44" t="s">
        <v>1219</v>
      </c>
    </row>
    <row r="1038" spans="1:2" x14ac:dyDescent="0.2">
      <c r="A1038" s="44" t="s">
        <v>1220</v>
      </c>
    </row>
    <row r="1039" spans="1:2" x14ac:dyDescent="0.2">
      <c r="A1039" s="44" t="s">
        <v>567</v>
      </c>
      <c r="B1039" s="44" t="s">
        <v>1313</v>
      </c>
    </row>
    <row r="1040" spans="1:2" x14ac:dyDescent="0.2">
      <c r="A1040" s="44"/>
    </row>
    <row r="1041" spans="1:2" x14ac:dyDescent="0.2">
      <c r="A1041" s="44"/>
    </row>
    <row r="1042" spans="1:2" x14ac:dyDescent="0.2">
      <c r="A1042" s="44" t="s">
        <v>576</v>
      </c>
    </row>
    <row r="1043" spans="1:2" x14ac:dyDescent="0.2">
      <c r="A1043" s="44" t="s">
        <v>745</v>
      </c>
    </row>
    <row r="1044" spans="1:2" x14ac:dyDescent="0.2">
      <c r="A1044" s="44"/>
    </row>
    <row r="1045" spans="1:2" x14ac:dyDescent="0.2">
      <c r="A1045" s="44"/>
    </row>
    <row r="1046" spans="1:2" x14ac:dyDescent="0.2">
      <c r="A1046" s="44"/>
    </row>
    <row r="1047" spans="1:2" x14ac:dyDescent="0.2">
      <c r="A1047" s="44"/>
    </row>
    <row r="1048" spans="1:2" x14ac:dyDescent="0.2">
      <c r="A1048" s="44"/>
    </row>
    <row r="1049" spans="1:2" x14ac:dyDescent="0.2">
      <c r="A1049" s="50"/>
    </row>
    <row r="1050" spans="1:2" x14ac:dyDescent="0.2">
      <c r="A1050" s="55" t="s">
        <v>1064</v>
      </c>
    </row>
    <row r="1051" spans="1:2" x14ac:dyDescent="0.2">
      <c r="A1051" s="55" t="s">
        <v>1065</v>
      </c>
    </row>
    <row r="1052" spans="1:2" ht="15" x14ac:dyDescent="0.25">
      <c r="A1052" s="56" t="s">
        <v>945</v>
      </c>
    </row>
    <row r="1053" spans="1:2" ht="15" x14ac:dyDescent="0.25">
      <c r="A1053" s="56" t="s">
        <v>945</v>
      </c>
    </row>
    <row r="1054" spans="1:2" ht="15" x14ac:dyDescent="0.25">
      <c r="A1054" s="56" t="s">
        <v>945</v>
      </c>
    </row>
    <row r="1055" spans="1:2" ht="15" x14ac:dyDescent="0.25">
      <c r="A1055" s="56" t="s">
        <v>1053</v>
      </c>
      <c r="B1055" s="43"/>
    </row>
    <row r="1056" spans="1:2" ht="15" x14ac:dyDescent="0.25">
      <c r="A1056" s="56" t="s">
        <v>945</v>
      </c>
      <c r="B1056" s="43"/>
    </row>
    <row r="1057" spans="1:2" ht="15" x14ac:dyDescent="0.25">
      <c r="A1057" s="56" t="s">
        <v>945</v>
      </c>
      <c r="B1057" s="43"/>
    </row>
    <row r="1058" spans="1:2" ht="15" x14ac:dyDescent="0.25">
      <c r="A1058" s="56" t="s">
        <v>945</v>
      </c>
      <c r="B1058" s="43"/>
    </row>
    <row r="1059" spans="1:2" ht="15" x14ac:dyDescent="0.25">
      <c r="A1059" s="56" t="s">
        <v>945</v>
      </c>
      <c r="B1059" s="43"/>
    </row>
    <row r="1060" spans="1:2" ht="15" x14ac:dyDescent="0.25">
      <c r="A1060" s="56" t="s">
        <v>945</v>
      </c>
      <c r="B1060" s="43"/>
    </row>
    <row r="1061" spans="1:2" ht="15" x14ac:dyDescent="0.25">
      <c r="A1061" s="56"/>
      <c r="B1061" s="43"/>
    </row>
    <row r="1062" spans="1:2" ht="15" x14ac:dyDescent="0.25">
      <c r="A1062" s="56"/>
      <c r="B1062" s="43"/>
    </row>
    <row r="1063" spans="1:2" ht="15" x14ac:dyDescent="0.25">
      <c r="A1063" s="56"/>
      <c r="B1063" s="43"/>
    </row>
    <row r="1064" spans="1:2" ht="15" x14ac:dyDescent="0.25">
      <c r="A1064" s="56"/>
      <c r="B1064" s="43"/>
    </row>
    <row r="1065" spans="1:2" ht="15" x14ac:dyDescent="0.25">
      <c r="A1065" s="56"/>
      <c r="B1065" s="43"/>
    </row>
    <row r="1066" spans="1:2" ht="15" x14ac:dyDescent="0.25">
      <c r="A1066" s="56"/>
      <c r="B1066" s="43"/>
    </row>
    <row r="1067" spans="1:2" ht="15" x14ac:dyDescent="0.25">
      <c r="A1067" s="56"/>
      <c r="B1067" s="43"/>
    </row>
    <row r="1068" spans="1:2" ht="15" x14ac:dyDescent="0.25">
      <c r="A1068" s="56"/>
      <c r="B1068" s="43"/>
    </row>
    <row r="1069" spans="1:2" ht="15" x14ac:dyDescent="0.25">
      <c r="A1069" s="56"/>
      <c r="B1069" s="43"/>
    </row>
    <row r="1070" spans="1:2" ht="15" x14ac:dyDescent="0.25">
      <c r="A1070" s="56"/>
      <c r="B1070" s="43"/>
    </row>
    <row r="1071" spans="1:2" ht="15" x14ac:dyDescent="0.25">
      <c r="A1071" s="56"/>
      <c r="B1071" s="43"/>
    </row>
    <row r="1072" spans="1:2" ht="15" x14ac:dyDescent="0.25">
      <c r="A1072" s="56"/>
      <c r="B1072" s="43"/>
    </row>
    <row r="1073" spans="1:2" ht="15" x14ac:dyDescent="0.25">
      <c r="A1073" s="56"/>
      <c r="B1073" s="43"/>
    </row>
    <row r="1074" spans="1:2" ht="15" x14ac:dyDescent="0.25">
      <c r="A1074" s="56" t="s">
        <v>247</v>
      </c>
    </row>
    <row r="1075" spans="1:2" ht="15" x14ac:dyDescent="0.25">
      <c r="A1075" s="56" t="s">
        <v>951</v>
      </c>
    </row>
    <row r="1076" spans="1:2" ht="15" x14ac:dyDescent="0.25">
      <c r="A1076" s="56" t="s">
        <v>945</v>
      </c>
    </row>
    <row r="1077" spans="1:2" ht="15" x14ac:dyDescent="0.25">
      <c r="A1077" s="56" t="s">
        <v>952</v>
      </c>
    </row>
    <row r="1078" spans="1:2" ht="15" x14ac:dyDescent="0.25">
      <c r="A1078" s="56" t="s">
        <v>945</v>
      </c>
    </row>
    <row r="1079" spans="1:2" ht="15" x14ac:dyDescent="0.25">
      <c r="A1079" s="56" t="s">
        <v>953</v>
      </c>
    </row>
    <row r="1080" spans="1:2" ht="15" x14ac:dyDescent="0.2">
      <c r="A1080" s="53" t="s">
        <v>778</v>
      </c>
      <c r="B1080" s="43"/>
    </row>
    <row r="1081" spans="1:2" ht="15" x14ac:dyDescent="0.25">
      <c r="A1081" s="56" t="s">
        <v>567</v>
      </c>
      <c r="B1081" s="43"/>
    </row>
    <row r="1082" spans="1:2" ht="15" x14ac:dyDescent="0.25">
      <c r="A1082" s="56" t="s">
        <v>996</v>
      </c>
      <c r="B1082" s="43"/>
    </row>
    <row r="1083" spans="1:2" ht="15" x14ac:dyDescent="0.25">
      <c r="A1083" s="56" t="s">
        <v>945</v>
      </c>
      <c r="B1083" s="43"/>
    </row>
    <row r="1084" spans="1:2" x14ac:dyDescent="0.2">
      <c r="A1084" s="55" t="s">
        <v>1011</v>
      </c>
      <c r="B1084" s="43"/>
    </row>
    <row r="1085" spans="1:2" ht="15" x14ac:dyDescent="0.2">
      <c r="A1085" s="53" t="s">
        <v>945</v>
      </c>
      <c r="B1085" s="43"/>
    </row>
    <row r="1086" spans="1:2" ht="15" x14ac:dyDescent="0.2">
      <c r="A1086" s="53" t="s">
        <v>945</v>
      </c>
      <c r="B1086" s="43"/>
    </row>
    <row r="1087" spans="1:2" ht="15" x14ac:dyDescent="0.2">
      <c r="A1087" s="57" t="s">
        <v>945</v>
      </c>
      <c r="B1087" s="43"/>
    </row>
    <row r="1088" spans="1:2" x14ac:dyDescent="0.2">
      <c r="A1088" s="44"/>
    </row>
    <row r="1089" spans="1:1" x14ac:dyDescent="0.2">
      <c r="A1089" s="44"/>
    </row>
    <row r="1108" spans="2:2" x14ac:dyDescent="0.2">
      <c r="B1108" s="43"/>
    </row>
    <row r="1111" spans="2:2" x14ac:dyDescent="0.2">
      <c r="B1111" s="43"/>
    </row>
    <row r="1112" spans="2:2" x14ac:dyDescent="0.2">
      <c r="B1112" s="44" t="s">
        <v>1313</v>
      </c>
    </row>
    <row r="1113" spans="2:2" x14ac:dyDescent="0.2">
      <c r="B1113" s="44" t="s">
        <v>1313</v>
      </c>
    </row>
    <row r="1114" spans="2:2" x14ac:dyDescent="0.2">
      <c r="B1114" s="37" t="s">
        <v>1413</v>
      </c>
    </row>
    <row r="1115" spans="2:2" x14ac:dyDescent="0.2">
      <c r="B1115" s="37" t="s">
        <v>1413</v>
      </c>
    </row>
    <row r="1116" spans="2:2" x14ac:dyDescent="0.2">
      <c r="B1116" s="37" t="s">
        <v>1413</v>
      </c>
    </row>
    <row r="1117" spans="2:2" x14ac:dyDescent="0.2">
      <c r="B1117" s="37" t="s">
        <v>1413</v>
      </c>
    </row>
    <row r="1118" spans="2:2" x14ac:dyDescent="0.2">
      <c r="B1118" s="37" t="s">
        <v>1413</v>
      </c>
    </row>
    <row r="1119" spans="2:2" x14ac:dyDescent="0.2">
      <c r="B1119" s="37" t="s">
        <v>1413</v>
      </c>
    </row>
    <row r="1120" spans="2:2" x14ac:dyDescent="0.2">
      <c r="B1120" s="37" t="s">
        <v>1148</v>
      </c>
    </row>
    <row r="1121" spans="1:2" ht="15.75" x14ac:dyDescent="0.2">
      <c r="A1121" s="128" t="s">
        <v>1401</v>
      </c>
      <c r="B1121" s="128" t="s">
        <v>1397</v>
      </c>
    </row>
    <row r="1122" spans="1:2" x14ac:dyDescent="0.2">
      <c r="A1122" s="43"/>
      <c r="B1122" s="43"/>
    </row>
    <row r="1123" spans="1:2" x14ac:dyDescent="0.2">
      <c r="A1123" s="43"/>
      <c r="B1123" s="43"/>
    </row>
    <row r="1124" spans="1:2" x14ac:dyDescent="0.2">
      <c r="A1124" s="43"/>
      <c r="B1124" s="43"/>
    </row>
    <row r="1125" spans="1:2" x14ac:dyDescent="0.2">
      <c r="A1125" s="43"/>
      <c r="B1125" s="43"/>
    </row>
    <row r="1126" spans="1:2" x14ac:dyDescent="0.2">
      <c r="A1126" s="43"/>
      <c r="B1126" s="43"/>
    </row>
    <row r="1127" spans="1:2" x14ac:dyDescent="0.2">
      <c r="A1127" s="43"/>
      <c r="B1127" s="43"/>
    </row>
    <row r="1128" spans="1:2" x14ac:dyDescent="0.2">
      <c r="A1128" s="43"/>
      <c r="B1128" s="43"/>
    </row>
    <row r="1129" spans="1:2" x14ac:dyDescent="0.2">
      <c r="A1129" s="43"/>
      <c r="B1129" s="43"/>
    </row>
    <row r="1130" spans="1:2" x14ac:dyDescent="0.2">
      <c r="A1130" s="43"/>
      <c r="B1130" s="43"/>
    </row>
    <row r="1131" spans="1:2" x14ac:dyDescent="0.2">
      <c r="A1131" s="43"/>
      <c r="B1131" s="43"/>
    </row>
    <row r="1132" spans="1:2" x14ac:dyDescent="0.2">
      <c r="A1132" s="43"/>
      <c r="B1132" s="43"/>
    </row>
    <row r="1133" spans="1:2" x14ac:dyDescent="0.2">
      <c r="A1133" s="43"/>
      <c r="B1133" s="43"/>
    </row>
    <row r="1134" spans="1:2" x14ac:dyDescent="0.2">
      <c r="A1134" s="43"/>
      <c r="B1134" s="43"/>
    </row>
    <row r="1135" spans="1:2" x14ac:dyDescent="0.2">
      <c r="A1135" s="43"/>
      <c r="B1135" s="43"/>
    </row>
    <row r="1136" spans="1:2" x14ac:dyDescent="0.2">
      <c r="A1136" s="43"/>
      <c r="B1136" s="43" t="s">
        <v>987</v>
      </c>
    </row>
    <row r="1137" spans="1:2" x14ac:dyDescent="0.2">
      <c r="A1137" s="43"/>
      <c r="B1137" s="43" t="s">
        <v>988</v>
      </c>
    </row>
    <row r="1138" spans="1:2" x14ac:dyDescent="0.2">
      <c r="A1138" s="43"/>
      <c r="B1138" s="43" t="s">
        <v>606</v>
      </c>
    </row>
    <row r="1139" spans="1:2" x14ac:dyDescent="0.2">
      <c r="A1139" s="43"/>
      <c r="B1139" s="43" t="s">
        <v>1003</v>
      </c>
    </row>
    <row r="1140" spans="1:2" x14ac:dyDescent="0.2">
      <c r="A1140" s="43"/>
      <c r="B1140" s="43" t="s">
        <v>1005</v>
      </c>
    </row>
    <row r="1141" spans="1:2" x14ac:dyDescent="0.2">
      <c r="A1141" s="43"/>
      <c r="B1141" s="43" t="s">
        <v>1007</v>
      </c>
    </row>
    <row r="1142" spans="1:2" x14ac:dyDescent="0.2">
      <c r="A1142" s="43"/>
      <c r="B1142" s="43" t="s">
        <v>1009</v>
      </c>
    </row>
    <row r="1143" spans="1:2" x14ac:dyDescent="0.2">
      <c r="A1143" s="43"/>
      <c r="B1143" s="44" t="s">
        <v>629</v>
      </c>
    </row>
    <row r="1144" spans="1:2" x14ac:dyDescent="0.2">
      <c r="A1144" s="43"/>
      <c r="B1144" s="44" t="s">
        <v>1033</v>
      </c>
    </row>
    <row r="1145" spans="1:2" x14ac:dyDescent="0.2">
      <c r="A1145" s="43"/>
      <c r="B1145" s="54" t="s">
        <v>1028</v>
      </c>
    </row>
    <row r="1146" spans="1:2" x14ac:dyDescent="0.2">
      <c r="A1146" s="43"/>
      <c r="B1146" s="44" t="s">
        <v>632</v>
      </c>
    </row>
    <row r="1147" spans="1:2" x14ac:dyDescent="0.2">
      <c r="A1147" s="43"/>
      <c r="B1147" s="44" t="s">
        <v>1036</v>
      </c>
    </row>
    <row r="1148" spans="1:2" x14ac:dyDescent="0.2">
      <c r="A1148" s="43"/>
      <c r="B1148" s="44" t="s">
        <v>634</v>
      </c>
    </row>
    <row r="1149" spans="1:2" x14ac:dyDescent="0.2">
      <c r="A1149" s="43"/>
      <c r="B1149" s="44" t="s">
        <v>1032</v>
      </c>
    </row>
    <row r="1150" spans="1:2" x14ac:dyDescent="0.2">
      <c r="A1150" s="43"/>
      <c r="B1150" s="44" t="s">
        <v>987</v>
      </c>
    </row>
    <row r="1151" spans="1:2" x14ac:dyDescent="0.2">
      <c r="A1151" s="43"/>
      <c r="B1151" s="44" t="s">
        <v>988</v>
      </c>
    </row>
    <row r="1152" spans="1:2" x14ac:dyDescent="0.2">
      <c r="A1152" s="43"/>
      <c r="B1152" s="44" t="s">
        <v>638</v>
      </c>
    </row>
    <row r="1153" spans="1:2" x14ac:dyDescent="0.2">
      <c r="A1153" s="43"/>
      <c r="B1153" s="44" t="s">
        <v>1034</v>
      </c>
    </row>
    <row r="1154" spans="1:2" x14ac:dyDescent="0.2">
      <c r="A1154" s="43"/>
      <c r="B1154" s="44" t="s">
        <v>641</v>
      </c>
    </row>
    <row r="1155" spans="1:2" x14ac:dyDescent="0.2">
      <c r="A1155" s="43"/>
      <c r="B1155" s="44" t="s">
        <v>1035</v>
      </c>
    </row>
    <row r="1156" spans="1:2" x14ac:dyDescent="0.2">
      <c r="A1156" s="43"/>
      <c r="B1156" s="44" t="s">
        <v>643</v>
      </c>
    </row>
    <row r="1157" spans="1:2" x14ac:dyDescent="0.2">
      <c r="A1157" s="43"/>
      <c r="B1157" s="44" t="s">
        <v>1031</v>
      </c>
    </row>
    <row r="1158" spans="1:2" x14ac:dyDescent="0.2">
      <c r="A1158" s="43"/>
      <c r="B1158" s="44" t="s">
        <v>1037</v>
      </c>
    </row>
    <row r="1159" spans="1:2" x14ac:dyDescent="0.2">
      <c r="A1159" s="43"/>
      <c r="B1159" s="44" t="s">
        <v>46</v>
      </c>
    </row>
    <row r="1160" spans="1:2" x14ac:dyDescent="0.2">
      <c r="A1160" s="43"/>
      <c r="B1160" s="44" t="s">
        <v>656</v>
      </c>
    </row>
    <row r="1161" spans="1:2" x14ac:dyDescent="0.2">
      <c r="A1161" s="43"/>
      <c r="B1161" s="43" t="s">
        <v>564</v>
      </c>
    </row>
    <row r="1162" spans="1:2" x14ac:dyDescent="0.2">
      <c r="A1162" s="43"/>
      <c r="B1162" s="43" t="s">
        <v>669</v>
      </c>
    </row>
    <row r="1163" spans="1:2" x14ac:dyDescent="0.2">
      <c r="A1163" s="43"/>
      <c r="B1163" s="43" t="s">
        <v>987</v>
      </c>
    </row>
    <row r="1164" spans="1:2" x14ac:dyDescent="0.2">
      <c r="A1164" s="43"/>
      <c r="B1164" s="43" t="s">
        <v>988</v>
      </c>
    </row>
    <row r="1165" spans="1:2" x14ac:dyDescent="0.2">
      <c r="A1165" s="43"/>
      <c r="B1165" s="43" t="s">
        <v>982</v>
      </c>
    </row>
    <row r="1166" spans="1:2" x14ac:dyDescent="0.2">
      <c r="A1166" s="43"/>
      <c r="B1166" s="43" t="s">
        <v>993</v>
      </c>
    </row>
    <row r="1167" spans="1:2" x14ac:dyDescent="0.2">
      <c r="A1167" s="43"/>
      <c r="B1167" s="43"/>
    </row>
    <row r="1168" spans="1:2" x14ac:dyDescent="0.2">
      <c r="A1168" s="43"/>
      <c r="B1168" s="43"/>
    </row>
    <row r="1169" spans="1:2" x14ac:dyDescent="0.2">
      <c r="A1169" s="112" t="s">
        <v>742</v>
      </c>
      <c r="B1169" s="112" t="s">
        <v>571</v>
      </c>
    </row>
    <row r="1170" spans="1:2" x14ac:dyDescent="0.2">
      <c r="A1170" s="112" t="s">
        <v>742</v>
      </c>
      <c r="B1170" s="112" t="s">
        <v>0</v>
      </c>
    </row>
    <row r="1171" spans="1:2" x14ac:dyDescent="0.2">
      <c r="A1171" s="112" t="s">
        <v>742</v>
      </c>
      <c r="B1171" s="112" t="s">
        <v>380</v>
      </c>
    </row>
    <row r="1172" spans="1:2" x14ac:dyDescent="0.2">
      <c r="A1172" s="112" t="s">
        <v>742</v>
      </c>
      <c r="B1172" s="112" t="s">
        <v>159</v>
      </c>
    </row>
    <row r="1173" spans="1:2" x14ac:dyDescent="0.2">
      <c r="A1173" s="112" t="s">
        <v>742</v>
      </c>
      <c r="B1173" s="112" t="s">
        <v>400</v>
      </c>
    </row>
    <row r="1174" spans="1:2" x14ac:dyDescent="0.2">
      <c r="A1174" s="112" t="s">
        <v>742</v>
      </c>
      <c r="B1174" s="112" t="s">
        <v>401</v>
      </c>
    </row>
    <row r="1175" spans="1:2" x14ac:dyDescent="0.2">
      <c r="A1175" s="112" t="s">
        <v>742</v>
      </c>
      <c r="B1175" s="112" t="s">
        <v>402</v>
      </c>
    </row>
    <row r="1176" spans="1:2" x14ac:dyDescent="0.2">
      <c r="A1176" s="112" t="s">
        <v>742</v>
      </c>
      <c r="B1176" s="112" t="s">
        <v>403</v>
      </c>
    </row>
    <row r="1177" spans="1:2" x14ac:dyDescent="0.2">
      <c r="A1177" s="112" t="s">
        <v>742</v>
      </c>
      <c r="B1177" s="112" t="s">
        <v>168</v>
      </c>
    </row>
    <row r="1178" spans="1:2" x14ac:dyDescent="0.2">
      <c r="A1178" s="112" t="s">
        <v>742</v>
      </c>
      <c r="B1178" s="112" t="s">
        <v>569</v>
      </c>
    </row>
    <row r="1179" spans="1:2" x14ac:dyDescent="0.2">
      <c r="A1179" s="112" t="s">
        <v>742</v>
      </c>
      <c r="B1179" s="112" t="s">
        <v>237</v>
      </c>
    </row>
    <row r="1180" spans="1:2" x14ac:dyDescent="0.2">
      <c r="A1180" s="112" t="s">
        <v>742</v>
      </c>
      <c r="B1180" s="112" t="s">
        <v>576</v>
      </c>
    </row>
    <row r="1181" spans="1:2" x14ac:dyDescent="0.2">
      <c r="A1181" s="112" t="s">
        <v>742</v>
      </c>
      <c r="B1181" s="112" t="s">
        <v>572</v>
      </c>
    </row>
    <row r="1182" spans="1:2" x14ac:dyDescent="0.2">
      <c r="A1182" s="112" t="s">
        <v>742</v>
      </c>
      <c r="B1182" s="112" t="s">
        <v>558</v>
      </c>
    </row>
    <row r="1183" spans="1:2" x14ac:dyDescent="0.2">
      <c r="A1183" s="112" t="s">
        <v>742</v>
      </c>
      <c r="B1183" s="112" t="s">
        <v>544</v>
      </c>
    </row>
    <row r="1184" spans="1:2" x14ac:dyDescent="0.2">
      <c r="A1184" s="112" t="s">
        <v>742</v>
      </c>
      <c r="B1184" s="112" t="s">
        <v>545</v>
      </c>
    </row>
    <row r="1185" spans="1:2" x14ac:dyDescent="0.2">
      <c r="A1185" s="112" t="s">
        <v>742</v>
      </c>
      <c r="B1185" s="112" t="s">
        <v>559</v>
      </c>
    </row>
    <row r="1186" spans="1:2" x14ac:dyDescent="0.2">
      <c r="A1186" s="112" t="s">
        <v>742</v>
      </c>
      <c r="B1186" s="112" t="s">
        <v>564</v>
      </c>
    </row>
    <row r="1187" spans="1:2" x14ac:dyDescent="0.2">
      <c r="A1187" s="112" t="s">
        <v>742</v>
      </c>
      <c r="B1187" s="112" t="s">
        <v>408</v>
      </c>
    </row>
    <row r="1188" spans="1:2" x14ac:dyDescent="0.2">
      <c r="A1188" s="112" t="s">
        <v>742</v>
      </c>
      <c r="B1188" s="112" t="s">
        <v>172</v>
      </c>
    </row>
    <row r="1189" spans="1:2" x14ac:dyDescent="0.2">
      <c r="A1189" s="112" t="s">
        <v>742</v>
      </c>
      <c r="B1189" s="112" t="s">
        <v>174</v>
      </c>
    </row>
    <row r="1190" spans="1:2" x14ac:dyDescent="0.2">
      <c r="A1190" s="112" t="s">
        <v>742</v>
      </c>
      <c r="B1190" s="112" t="s">
        <v>176</v>
      </c>
    </row>
    <row r="1191" spans="1:2" x14ac:dyDescent="0.2">
      <c r="A1191" s="112" t="s">
        <v>742</v>
      </c>
      <c r="B1191" s="112" t="s">
        <v>573</v>
      </c>
    </row>
    <row r="1192" spans="1:2" x14ac:dyDescent="0.2">
      <c r="A1192" s="112" t="s">
        <v>742</v>
      </c>
      <c r="B1192" s="112" t="s">
        <v>399</v>
      </c>
    </row>
    <row r="1193" spans="1:2" x14ac:dyDescent="0.2">
      <c r="A1193" s="112" t="s">
        <v>742</v>
      </c>
      <c r="B1193" s="112" t="s">
        <v>667</v>
      </c>
    </row>
    <row r="1194" spans="1:2" x14ac:dyDescent="0.2">
      <c r="A1194" s="112" t="s">
        <v>742</v>
      </c>
      <c r="B1194" s="112" t="s">
        <v>418</v>
      </c>
    </row>
    <row r="1195" spans="1:2" x14ac:dyDescent="0.2">
      <c r="A1195" s="112" t="s">
        <v>742</v>
      </c>
      <c r="B1195" s="112" t="s">
        <v>205</v>
      </c>
    </row>
    <row r="1196" spans="1:2" x14ac:dyDescent="0.2">
      <c r="A1196" s="112" t="s">
        <v>742</v>
      </c>
      <c r="B1196" s="112" t="s">
        <v>570</v>
      </c>
    </row>
    <row r="1197" spans="1:2" x14ac:dyDescent="0.2">
      <c r="A1197" s="112" t="s">
        <v>742</v>
      </c>
      <c r="B1197" s="112" t="s">
        <v>566</v>
      </c>
    </row>
    <row r="1198" spans="1:2" x14ac:dyDescent="0.2">
      <c r="A1198" s="112" t="s">
        <v>742</v>
      </c>
      <c r="B1198" s="112" t="s">
        <v>568</v>
      </c>
    </row>
    <row r="1199" spans="1:2" x14ac:dyDescent="0.2">
      <c r="A1199" s="112" t="s">
        <v>742</v>
      </c>
      <c r="B1199" s="112" t="s">
        <v>575</v>
      </c>
    </row>
    <row r="1200" spans="1:2" x14ac:dyDescent="0.2">
      <c r="A1200" s="112" t="s">
        <v>742</v>
      </c>
      <c r="B1200" s="112" t="s">
        <v>567</v>
      </c>
    </row>
    <row r="1201" spans="1:2" x14ac:dyDescent="0.2">
      <c r="A1201" s="112" t="s">
        <v>742</v>
      </c>
      <c r="B1201" s="112" t="s">
        <v>332</v>
      </c>
    </row>
    <row r="1202" spans="1:2" x14ac:dyDescent="0.2">
      <c r="A1202" s="112" t="s">
        <v>742</v>
      </c>
      <c r="B1202" s="112" t="s">
        <v>773</v>
      </c>
    </row>
    <row r="1203" spans="1:2" x14ac:dyDescent="0.2">
      <c r="A1203" s="112" t="s">
        <v>742</v>
      </c>
      <c r="B1203" s="112" t="s">
        <v>332</v>
      </c>
    </row>
    <row r="1204" spans="1:2" x14ac:dyDescent="0.2">
      <c r="A1204" s="112" t="s">
        <v>742</v>
      </c>
      <c r="B1204" s="112" t="s">
        <v>774</v>
      </c>
    </row>
    <row r="1205" spans="1:2" x14ac:dyDescent="0.2">
      <c r="A1205" s="112" t="s">
        <v>742</v>
      </c>
      <c r="B1205" s="112" t="s">
        <v>574</v>
      </c>
    </row>
    <row r="1206" spans="1:2" x14ac:dyDescent="0.2">
      <c r="A1206" s="112" t="s">
        <v>742</v>
      </c>
      <c r="B1206" s="112" t="s">
        <v>566</v>
      </c>
    </row>
    <row r="1207" spans="1:2" x14ac:dyDescent="0.2">
      <c r="A1207" s="112" t="s">
        <v>742</v>
      </c>
      <c r="B1207" s="112" t="s">
        <v>886</v>
      </c>
    </row>
    <row r="1208" spans="1:2" x14ac:dyDescent="0.2">
      <c r="A1208" s="112" t="s">
        <v>742</v>
      </c>
      <c r="B1208" s="112" t="s">
        <v>887</v>
      </c>
    </row>
    <row r="1209" spans="1:2" x14ac:dyDescent="0.2">
      <c r="A1209" s="44" t="s">
        <v>1313</v>
      </c>
      <c r="B1209" s="44" t="s">
        <v>982</v>
      </c>
    </row>
    <row r="1210" spans="1:2" x14ac:dyDescent="0.2">
      <c r="A1210" s="44" t="s">
        <v>1313</v>
      </c>
      <c r="B1210" s="112" t="s">
        <v>562</v>
      </c>
    </row>
    <row r="1211" spans="1:2" x14ac:dyDescent="0.2">
      <c r="A1211" s="44" t="s">
        <v>1313</v>
      </c>
      <c r="B1211" s="44" t="s">
        <v>564</v>
      </c>
    </row>
    <row r="1212" spans="1:2" x14ac:dyDescent="0.2">
      <c r="A1212" s="44" t="s">
        <v>1313</v>
      </c>
      <c r="B1212" s="44" t="s">
        <v>1042</v>
      </c>
    </row>
    <row r="1213" spans="1:2" x14ac:dyDescent="0.2">
      <c r="A1213" s="44" t="s">
        <v>1313</v>
      </c>
      <c r="B1213" s="112" t="s">
        <v>568</v>
      </c>
    </row>
    <row r="1214" spans="1:2" x14ac:dyDescent="0.2">
      <c r="A1214" s="44" t="s">
        <v>1313</v>
      </c>
      <c r="B1214" s="112" t="s">
        <v>379</v>
      </c>
    </row>
    <row r="1215" spans="1:2" x14ac:dyDescent="0.2">
      <c r="A1215" s="44" t="s">
        <v>1313</v>
      </c>
      <c r="B1215" s="44" t="s">
        <v>332</v>
      </c>
    </row>
    <row r="1216" spans="1:2" x14ac:dyDescent="0.2">
      <c r="A1216" s="44" t="s">
        <v>1313</v>
      </c>
      <c r="B1216" s="44" t="s">
        <v>1045</v>
      </c>
    </row>
    <row r="1217" spans="1:2" x14ac:dyDescent="0.2">
      <c r="A1217" s="44" t="s">
        <v>1313</v>
      </c>
      <c r="B1217" s="44" t="s">
        <v>1379</v>
      </c>
    </row>
    <row r="1218" spans="1:2" x14ac:dyDescent="0.2">
      <c r="A1218" s="44" t="s">
        <v>1313</v>
      </c>
      <c r="B1218" s="44" t="s">
        <v>1380</v>
      </c>
    </row>
    <row r="1219" spans="1:2" x14ac:dyDescent="0.2">
      <c r="A1219" s="44" t="s">
        <v>1313</v>
      </c>
      <c r="B1219" s="44" t="s">
        <v>1381</v>
      </c>
    </row>
    <row r="1220" spans="1:2" x14ac:dyDescent="0.2">
      <c r="A1220" s="44" t="s">
        <v>1313</v>
      </c>
      <c r="B1220" s="44" t="s">
        <v>1382</v>
      </c>
    </row>
    <row r="1221" spans="1:2" x14ac:dyDescent="0.2">
      <c r="A1221" s="44" t="s">
        <v>1313</v>
      </c>
      <c r="B1221" s="44" t="s">
        <v>955</v>
      </c>
    </row>
    <row r="1222" spans="1:2" x14ac:dyDescent="0.2">
      <c r="A1222" s="44" t="s">
        <v>1313</v>
      </c>
      <c r="B1222" s="44"/>
    </row>
    <row r="1223" spans="1:2" x14ac:dyDescent="0.2">
      <c r="A1223" s="44" t="s">
        <v>1313</v>
      </c>
      <c r="B1223" s="44" t="s">
        <v>332</v>
      </c>
    </row>
    <row r="1224" spans="1:2" x14ac:dyDescent="0.2">
      <c r="A1224" s="44" t="s">
        <v>1313</v>
      </c>
      <c r="B1224" s="44" t="s">
        <v>332</v>
      </c>
    </row>
    <row r="1225" spans="1:2" x14ac:dyDescent="0.2">
      <c r="A1225" s="44" t="s">
        <v>1313</v>
      </c>
      <c r="B1225" s="44" t="s">
        <v>332</v>
      </c>
    </row>
    <row r="1226" spans="1:2" x14ac:dyDescent="0.2">
      <c r="A1226" s="44" t="s">
        <v>1313</v>
      </c>
      <c r="B1226" s="44" t="s">
        <v>332</v>
      </c>
    </row>
    <row r="1227" spans="1:2" x14ac:dyDescent="0.2">
      <c r="A1227" s="125"/>
      <c r="B1227" s="43" t="s">
        <v>605</v>
      </c>
    </row>
    <row r="1228" spans="1:2" ht="15" x14ac:dyDescent="0.25">
      <c r="A1228"/>
      <c r="B1228" s="43" t="s">
        <v>604</v>
      </c>
    </row>
    <row r="1229" spans="1:2" ht="15" x14ac:dyDescent="0.25">
      <c r="A1229"/>
      <c r="B1229" s="43" t="s">
        <v>166</v>
      </c>
    </row>
    <row r="1230" spans="1:2" x14ac:dyDescent="0.2">
      <c r="A1230" s="125"/>
      <c r="B1230" s="43" t="s">
        <v>568</v>
      </c>
    </row>
    <row r="1231" spans="1:2" x14ac:dyDescent="0.2">
      <c r="A1231" s="125"/>
      <c r="B1231" s="43" t="s">
        <v>606</v>
      </c>
    </row>
    <row r="1232" spans="1:2" ht="15" x14ac:dyDescent="0.2">
      <c r="A1232" s="126"/>
      <c r="B1232" s="43" t="s">
        <v>367</v>
      </c>
    </row>
    <row r="1233" spans="1:2" x14ac:dyDescent="0.2">
      <c r="A1233" s="125"/>
      <c r="B1233" s="43" t="s">
        <v>617</v>
      </c>
    </row>
    <row r="1234" spans="1:2" x14ac:dyDescent="0.2">
      <c r="B1234" s="43" t="s">
        <v>607</v>
      </c>
    </row>
    <row r="1236" spans="1:2" x14ac:dyDescent="0.2">
      <c r="B1236" s="43" t="s">
        <v>669</v>
      </c>
    </row>
    <row r="1237" spans="1:2" x14ac:dyDescent="0.2">
      <c r="B1237" s="43" t="s">
        <v>1216</v>
      </c>
    </row>
    <row r="1238" spans="1:2" x14ac:dyDescent="0.2">
      <c r="B1238" s="43" t="s">
        <v>1217</v>
      </c>
    </row>
    <row r="1239" spans="1:2" x14ac:dyDescent="0.2">
      <c r="B1239" s="43" t="s">
        <v>1218</v>
      </c>
    </row>
    <row r="1240" spans="1:2" x14ac:dyDescent="0.2">
      <c r="B1240" s="43" t="s">
        <v>1219</v>
      </c>
    </row>
    <row r="1241" spans="1:2" x14ac:dyDescent="0.2">
      <c r="B1241" s="43" t="s">
        <v>1220</v>
      </c>
    </row>
    <row r="1242" spans="1:2" x14ac:dyDescent="0.2">
      <c r="A1242" s="44" t="s">
        <v>1313</v>
      </c>
      <c r="B1242" s="44" t="s">
        <v>567</v>
      </c>
    </row>
    <row r="1243" spans="1:2" x14ac:dyDescent="0.2">
      <c r="B1243" s="44" t="s">
        <v>1184</v>
      </c>
    </row>
    <row r="1244" spans="1:2" x14ac:dyDescent="0.2">
      <c r="B1244" s="44" t="s">
        <v>569</v>
      </c>
    </row>
    <row r="1245" spans="1:2" x14ac:dyDescent="0.2">
      <c r="B1245" s="44"/>
    </row>
    <row r="1246" spans="1:2" x14ac:dyDescent="0.2">
      <c r="B1246" s="44"/>
    </row>
    <row r="1247" spans="1:2" x14ac:dyDescent="0.2">
      <c r="B1247" s="44"/>
    </row>
    <row r="1248" spans="1:2" x14ac:dyDescent="0.2">
      <c r="B1248" s="44"/>
    </row>
    <row r="1249" spans="1:2" x14ac:dyDescent="0.2">
      <c r="B1249" s="44"/>
    </row>
    <row r="1250" spans="1:2" x14ac:dyDescent="0.2">
      <c r="B1250" s="44"/>
    </row>
    <row r="1251" spans="1:2" x14ac:dyDescent="0.2">
      <c r="B1251" s="44"/>
    </row>
    <row r="1252" spans="1:2" x14ac:dyDescent="0.2">
      <c r="B1252" s="44"/>
    </row>
    <row r="1253" spans="1:2" x14ac:dyDescent="0.2">
      <c r="B1253" s="44"/>
    </row>
    <row r="1254" spans="1:2" x14ac:dyDescent="0.2">
      <c r="B1254" s="44"/>
    </row>
    <row r="1255" spans="1:2" x14ac:dyDescent="0.2">
      <c r="B1255" s="44"/>
    </row>
    <row r="1256" spans="1:2" x14ac:dyDescent="0.2">
      <c r="B1256" s="44"/>
    </row>
    <row r="1257" spans="1:2" x14ac:dyDescent="0.2">
      <c r="B1257" s="44"/>
    </row>
    <row r="1258" spans="1:2" x14ac:dyDescent="0.2">
      <c r="A1258" s="43"/>
      <c r="B1258" s="44"/>
    </row>
    <row r="1259" spans="1:2" x14ac:dyDescent="0.2">
      <c r="A1259" s="43"/>
      <c r="B1259" s="44"/>
    </row>
    <row r="1260" spans="1:2" x14ac:dyDescent="0.2">
      <c r="A1260" s="43"/>
      <c r="B1260" s="44"/>
    </row>
    <row r="1261" spans="1:2" x14ac:dyDescent="0.2">
      <c r="A1261" s="43"/>
      <c r="B1261" s="44"/>
    </row>
    <row r="1262" spans="1:2" x14ac:dyDescent="0.2">
      <c r="A1262" s="43"/>
      <c r="B1262" s="44"/>
    </row>
    <row r="1263" spans="1:2" x14ac:dyDescent="0.2">
      <c r="A1263" s="43"/>
      <c r="B1263" s="44"/>
    </row>
    <row r="1264" spans="1:2" x14ac:dyDescent="0.2">
      <c r="A1264" s="43"/>
      <c r="B1264" s="44" t="s">
        <v>162</v>
      </c>
    </row>
    <row r="1265" spans="1:2" x14ac:dyDescent="0.2">
      <c r="A1265" s="43"/>
      <c r="B1265" s="44" t="s">
        <v>257</v>
      </c>
    </row>
    <row r="1266" spans="1:2" x14ac:dyDescent="0.2">
      <c r="A1266" s="43"/>
      <c r="B1266" s="44" t="s">
        <v>1014</v>
      </c>
    </row>
    <row r="1267" spans="1:2" x14ac:dyDescent="0.2">
      <c r="A1267" s="43"/>
      <c r="B1267" s="44" t="s">
        <v>258</v>
      </c>
    </row>
    <row r="1268" spans="1:2" x14ac:dyDescent="0.2">
      <c r="A1268" s="43"/>
      <c r="B1268" s="44" t="s">
        <v>1015</v>
      </c>
    </row>
    <row r="1269" spans="1:2" x14ac:dyDescent="0.2">
      <c r="A1269" s="43"/>
      <c r="B1269" s="44" t="s">
        <v>1017</v>
      </c>
    </row>
    <row r="1270" spans="1:2" x14ac:dyDescent="0.2">
      <c r="A1270" s="43"/>
      <c r="B1270" s="44" t="s">
        <v>1018</v>
      </c>
    </row>
    <row r="1271" spans="1:2" x14ac:dyDescent="0.2">
      <c r="A1271" s="43"/>
      <c r="B1271" s="44" t="s">
        <v>1020</v>
      </c>
    </row>
    <row r="1272" spans="1:2" x14ac:dyDescent="0.2">
      <c r="A1272" s="43"/>
      <c r="B1272" s="44" t="s">
        <v>1022</v>
      </c>
    </row>
    <row r="1273" spans="1:2" x14ac:dyDescent="0.2">
      <c r="A1273" s="43"/>
      <c r="B1273" s="44" t="s">
        <v>1024</v>
      </c>
    </row>
    <row r="1274" spans="1:2" x14ac:dyDescent="0.2">
      <c r="A1274" s="43"/>
      <c r="B1274" s="44" t="s">
        <v>1025</v>
      </c>
    </row>
    <row r="1275" spans="1:2" x14ac:dyDescent="0.2">
      <c r="A1275" s="43"/>
      <c r="B1275" s="44" t="s">
        <v>1026</v>
      </c>
    </row>
    <row r="1276" spans="1:2" x14ac:dyDescent="0.2">
      <c r="A1276" s="43"/>
      <c r="B1276" s="44" t="s">
        <v>1027</v>
      </c>
    </row>
    <row r="1277" spans="1:2" x14ac:dyDescent="0.2">
      <c r="B1277" s="44"/>
    </row>
    <row r="1278" spans="1:2" x14ac:dyDescent="0.2">
      <c r="B1278" s="44"/>
    </row>
    <row r="1279" spans="1:2" x14ac:dyDescent="0.2">
      <c r="B1279" s="44"/>
    </row>
    <row r="1280" spans="1:2" x14ac:dyDescent="0.2">
      <c r="B1280" s="44"/>
    </row>
    <row r="1281" spans="1:2" x14ac:dyDescent="0.2">
      <c r="B1281" s="44"/>
    </row>
    <row r="1282" spans="1:2" x14ac:dyDescent="0.2">
      <c r="B1282" s="44"/>
    </row>
    <row r="1283" spans="1:2" x14ac:dyDescent="0.2">
      <c r="A1283" s="43"/>
      <c r="B1283" s="44"/>
    </row>
    <row r="1284" spans="1:2" x14ac:dyDescent="0.2">
      <c r="A1284" s="43"/>
      <c r="B1284" s="44"/>
    </row>
    <row r="1285" spans="1:2" x14ac:dyDescent="0.2">
      <c r="A1285" s="43"/>
      <c r="B1285" s="44"/>
    </row>
    <row r="1286" spans="1:2" x14ac:dyDescent="0.2">
      <c r="A1286" s="43"/>
      <c r="B1286" s="44"/>
    </row>
    <row r="1287" spans="1:2" x14ac:dyDescent="0.2">
      <c r="A1287" s="43"/>
      <c r="B1287" s="44"/>
    </row>
    <row r="1288" spans="1:2" x14ac:dyDescent="0.2">
      <c r="A1288" s="43"/>
      <c r="B1288" s="44"/>
    </row>
    <row r="1289" spans="1:2" x14ac:dyDescent="0.2">
      <c r="A1289" s="43"/>
      <c r="B1289" s="44"/>
    </row>
    <row r="1290" spans="1:2" x14ac:dyDescent="0.2">
      <c r="A1290" s="43"/>
      <c r="B1290" s="44"/>
    </row>
    <row r="1291" spans="1:2" x14ac:dyDescent="0.2">
      <c r="B1291" s="44" t="s">
        <v>1388</v>
      </c>
    </row>
    <row r="1292" spans="1:2" x14ac:dyDescent="0.2">
      <c r="B1292" s="44" t="s">
        <v>568</v>
      </c>
    </row>
    <row r="1293" spans="1:2" x14ac:dyDescent="0.2">
      <c r="B1293" s="44"/>
    </row>
    <row r="1294" spans="1:2" x14ac:dyDescent="0.2">
      <c r="B1294" s="44"/>
    </row>
    <row r="1295" spans="1:2" x14ac:dyDescent="0.2">
      <c r="B1295" s="44"/>
    </row>
    <row r="1296" spans="1:2" x14ac:dyDescent="0.2">
      <c r="B1296" s="44"/>
    </row>
    <row r="1297" spans="1:2" x14ac:dyDescent="0.2">
      <c r="B1297" s="44"/>
    </row>
    <row r="1298" spans="1:2" x14ac:dyDescent="0.2">
      <c r="B1298" s="44" t="s">
        <v>1030</v>
      </c>
    </row>
    <row r="1299" spans="1:2" x14ac:dyDescent="0.2">
      <c r="B1299" s="44"/>
    </row>
    <row r="1300" spans="1:2" x14ac:dyDescent="0.2">
      <c r="B1300" s="44"/>
    </row>
    <row r="1301" spans="1:2" x14ac:dyDescent="0.2">
      <c r="B1301" s="44"/>
    </row>
    <row r="1302" spans="1:2" x14ac:dyDescent="0.2">
      <c r="B1302" s="44" t="s">
        <v>907</v>
      </c>
    </row>
    <row r="1303" spans="1:2" x14ac:dyDescent="0.2">
      <c r="B1303" s="44" t="s">
        <v>1233</v>
      </c>
    </row>
    <row r="1304" spans="1:2" x14ac:dyDescent="0.2">
      <c r="B1304" s="44" t="s">
        <v>1235</v>
      </c>
    </row>
    <row r="1305" spans="1:2" x14ac:dyDescent="0.2">
      <c r="B1305" s="44"/>
    </row>
    <row r="1306" spans="1:2" x14ac:dyDescent="0.2">
      <c r="B1306" s="44"/>
    </row>
    <row r="1307" spans="1:2" x14ac:dyDescent="0.2">
      <c r="B1307" s="44"/>
    </row>
    <row r="1308" spans="1:2" x14ac:dyDescent="0.2">
      <c r="B1308" s="44"/>
    </row>
    <row r="1309" spans="1:2" x14ac:dyDescent="0.2">
      <c r="B1309" s="44"/>
    </row>
    <row r="1310" spans="1:2" x14ac:dyDescent="0.2">
      <c r="B1310" s="44"/>
    </row>
    <row r="1311" spans="1:2" x14ac:dyDescent="0.2">
      <c r="A1311" s="43"/>
      <c r="B1311" s="44"/>
    </row>
    <row r="1312" spans="1:2" x14ac:dyDescent="0.2">
      <c r="B1312" s="44"/>
    </row>
    <row r="1313" spans="1:2" x14ac:dyDescent="0.2">
      <c r="B1313" s="44"/>
    </row>
    <row r="1314" spans="1:2" x14ac:dyDescent="0.2">
      <c r="A1314" s="43"/>
      <c r="B1314" s="44"/>
    </row>
    <row r="1315" spans="1:2" x14ac:dyDescent="0.2">
      <c r="A1315" s="44" t="s">
        <v>1313</v>
      </c>
      <c r="B1315" s="44" t="s">
        <v>1185</v>
      </c>
    </row>
    <row r="1316" spans="1:2" x14ac:dyDescent="0.2">
      <c r="A1316" s="44" t="s">
        <v>1313</v>
      </c>
      <c r="B1316" s="44" t="s">
        <v>1184</v>
      </c>
    </row>
    <row r="1317" spans="1:2" x14ac:dyDescent="0.2">
      <c r="A1317" s="37" t="s">
        <v>1413</v>
      </c>
    </row>
    <row r="1318" spans="1:2" x14ac:dyDescent="0.2">
      <c r="A1318" s="37" t="s">
        <v>1413</v>
      </c>
    </row>
    <row r="1319" spans="1:2" x14ac:dyDescent="0.2">
      <c r="A1319" s="37" t="s">
        <v>1413</v>
      </c>
    </row>
    <row r="1320" spans="1:2" x14ac:dyDescent="0.2">
      <c r="A1320" s="37" t="s">
        <v>1413</v>
      </c>
    </row>
    <row r="1321" spans="1:2" x14ac:dyDescent="0.2">
      <c r="A1321" s="37" t="s">
        <v>1413</v>
      </c>
    </row>
    <row r="1322" spans="1:2" x14ac:dyDescent="0.2">
      <c r="A1322" s="37" t="s">
        <v>1413</v>
      </c>
    </row>
    <row r="1323" spans="1:2" x14ac:dyDescent="0.2">
      <c r="A1323" s="37" t="s">
        <v>1148</v>
      </c>
    </row>
  </sheetData>
  <sheetProtection algorithmName="SHA-512" hashValue="q+Al0+miQcCbo+pZ4101mifpy3dzCkSTZnZpfnJLO6hde1zT6BFwWraZ49qqbLK1E7ePLYxcL8GCD4oibExMhg==" saltValue="vMtjyXqVZsg3mjQhksMNGA==" spinCount="100000" sheet="1" objects="1" scenarios="1"/>
  <conditionalFormatting sqref="A302">
    <cfRule type="duplicateValues" dxfId="11" priority="6"/>
  </conditionalFormatting>
  <conditionalFormatting sqref="A311:A312">
    <cfRule type="duplicateValues" dxfId="10" priority="1"/>
  </conditionalFormatting>
  <conditionalFormatting sqref="A336:A337 A339:A340">
    <cfRule type="duplicateValues" dxfId="9" priority="2"/>
  </conditionalFormatting>
  <conditionalFormatting sqref="A338">
    <cfRule type="duplicateValues" dxfId="8" priority="5"/>
  </conditionalFormatting>
  <conditionalFormatting sqref="A339:A340">
    <cfRule type="duplicateValues" dxfId="7" priority="3"/>
  </conditionalFormatting>
  <conditionalFormatting sqref="A348:A350">
    <cfRule type="duplicateValues" dxfId="6" priority="4"/>
  </conditionalFormatting>
  <conditionalFormatting sqref="B171">
    <cfRule type="duplicateValues" dxfId="5" priority="12"/>
  </conditionalFormatting>
  <conditionalFormatting sqref="B180:B181">
    <cfRule type="duplicateValues" dxfId="4" priority="7"/>
  </conditionalFormatting>
  <conditionalFormatting sqref="B205:B206 B208:B209">
    <cfRule type="duplicateValues" dxfId="3" priority="8"/>
  </conditionalFormatting>
  <conditionalFormatting sqref="B207">
    <cfRule type="duplicateValues" dxfId="2" priority="11"/>
  </conditionalFormatting>
  <conditionalFormatting sqref="B208:B209">
    <cfRule type="duplicateValues" dxfId="1" priority="9"/>
  </conditionalFormatting>
  <conditionalFormatting sqref="B217:B219">
    <cfRule type="duplicateValues" dxfId="0"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DF27E-B0BE-4E94-9EE7-E1FB85F2105D}">
  <sheetPr>
    <tabColor theme="9"/>
  </sheetPr>
  <dimension ref="A1:AD43"/>
  <sheetViews>
    <sheetView topLeftCell="L1" zoomScale="93" zoomScaleNormal="85" workbookViewId="0">
      <pane ySplit="3" topLeftCell="A37" activePane="bottomLeft" state="frozen"/>
      <selection activeCell="K30" sqref="K30:K32"/>
      <selection pane="bottomLeft" activeCell="M42" sqref="M42"/>
    </sheetView>
  </sheetViews>
  <sheetFormatPr defaultColWidth="36.5703125" defaultRowHeight="15" x14ac:dyDescent="0.25"/>
  <cols>
    <col min="9" max="9" width="55.5703125" customWidth="1"/>
    <col min="24" max="24" width="15" customWidth="1"/>
    <col min="25" max="25" width="8.5703125" customWidth="1"/>
    <col min="26" max="26" width="13" customWidth="1"/>
    <col min="30" max="30" width="47.42578125" customWidth="1"/>
  </cols>
  <sheetData>
    <row r="1" spans="1:30" ht="49.5" customHeight="1" x14ac:dyDescent="0.25">
      <c r="V1" s="95"/>
      <c r="W1" s="95" t="s">
        <v>1404</v>
      </c>
    </row>
    <row r="2" spans="1:30" ht="15.75" x14ac:dyDescent="0.25">
      <c r="A2" s="51" t="s">
        <v>937</v>
      </c>
      <c r="B2" s="46"/>
      <c r="C2" s="47"/>
      <c r="D2" s="52" t="s">
        <v>938</v>
      </c>
      <c r="E2" s="48"/>
      <c r="F2" s="48"/>
      <c r="G2" s="48"/>
      <c r="H2" s="49"/>
      <c r="I2" s="49"/>
      <c r="J2" s="49"/>
      <c r="K2" s="49"/>
      <c r="L2" s="249" t="s">
        <v>954</v>
      </c>
      <c r="M2" s="249"/>
      <c r="N2" s="249"/>
      <c r="O2" s="250" t="s">
        <v>1192</v>
      </c>
      <c r="P2" s="250"/>
      <c r="Q2" s="250"/>
      <c r="R2" s="250"/>
      <c r="S2" s="109" t="s">
        <v>1193</v>
      </c>
      <c r="T2" s="80"/>
      <c r="U2" s="80"/>
      <c r="V2" s="99"/>
      <c r="W2" s="98"/>
      <c r="X2" s="80"/>
      <c r="Y2" s="80"/>
      <c r="Z2" s="80"/>
      <c r="AA2" s="89" t="s">
        <v>1194</v>
      </c>
      <c r="AB2" s="81"/>
      <c r="AC2" s="81"/>
      <c r="AD2" s="81"/>
    </row>
    <row r="3" spans="1:30" ht="110.25" x14ac:dyDescent="0.25">
      <c r="A3" s="38" t="s">
        <v>903</v>
      </c>
      <c r="B3" s="38" t="s">
        <v>944</v>
      </c>
      <c r="C3" s="38" t="s">
        <v>943</v>
      </c>
      <c r="D3" s="39" t="s">
        <v>593</v>
      </c>
      <c r="E3" s="39" t="s">
        <v>625</v>
      </c>
      <c r="F3" s="39" t="s">
        <v>942</v>
      </c>
      <c r="G3" s="39" t="s">
        <v>941</v>
      </c>
      <c r="H3" s="39" t="s">
        <v>597</v>
      </c>
      <c r="I3" s="39" t="s">
        <v>596</v>
      </c>
      <c r="J3" s="39" t="s">
        <v>591</v>
      </c>
      <c r="K3" s="40" t="s">
        <v>939</v>
      </c>
      <c r="L3" s="41" t="s">
        <v>1061</v>
      </c>
      <c r="M3" s="41" t="s">
        <v>1062</v>
      </c>
      <c r="N3" s="41" t="s">
        <v>1063</v>
      </c>
      <c r="O3" s="82" t="s">
        <v>1195</v>
      </c>
      <c r="P3" s="82" t="s">
        <v>1196</v>
      </c>
      <c r="Q3" s="82" t="s">
        <v>1197</v>
      </c>
      <c r="R3" s="83" t="s">
        <v>43</v>
      </c>
      <c r="S3" s="84" t="s">
        <v>1198</v>
      </c>
      <c r="T3" s="84" t="s">
        <v>1199</v>
      </c>
      <c r="U3" s="96" t="s">
        <v>1200</v>
      </c>
      <c r="V3" s="100" t="s">
        <v>1358</v>
      </c>
      <c r="W3" s="101" t="s">
        <v>1288</v>
      </c>
      <c r="X3" s="97" t="s">
        <v>1201</v>
      </c>
      <c r="Y3" s="84" t="s">
        <v>1202</v>
      </c>
      <c r="Z3" s="84" t="s">
        <v>43</v>
      </c>
      <c r="AA3" s="85" t="s">
        <v>1203</v>
      </c>
      <c r="AB3" s="85" t="s">
        <v>1204</v>
      </c>
      <c r="AC3" s="85" t="s">
        <v>1205</v>
      </c>
      <c r="AD3" s="86" t="s">
        <v>43</v>
      </c>
    </row>
    <row r="4" spans="1:30" ht="39.75" customHeight="1" x14ac:dyDescent="0.25">
      <c r="A4" s="44" t="s">
        <v>904</v>
      </c>
      <c r="B4" s="44" t="s">
        <v>601</v>
      </c>
      <c r="C4" s="73" t="s">
        <v>345</v>
      </c>
      <c r="D4" s="73" t="s">
        <v>594</v>
      </c>
      <c r="E4" s="73" t="s">
        <v>650</v>
      </c>
      <c r="F4" s="73" t="s">
        <v>571</v>
      </c>
      <c r="G4" s="73" t="s">
        <v>332</v>
      </c>
      <c r="H4" s="73" t="s">
        <v>157</v>
      </c>
      <c r="I4" s="73" t="s">
        <v>689</v>
      </c>
      <c r="J4" s="73" t="s">
        <v>548</v>
      </c>
      <c r="K4" s="87">
        <v>44278</v>
      </c>
      <c r="L4" s="44" t="s">
        <v>571</v>
      </c>
      <c r="M4" s="44" t="s">
        <v>571</v>
      </c>
      <c r="N4" s="73" t="s">
        <v>36</v>
      </c>
      <c r="O4" s="44" t="s">
        <v>1206</v>
      </c>
      <c r="P4" s="44" t="s">
        <v>1210</v>
      </c>
      <c r="Q4" s="44" t="s">
        <v>957</v>
      </c>
      <c r="R4" s="44"/>
      <c r="S4" s="73"/>
      <c r="T4" s="44"/>
      <c r="U4" s="43" t="s">
        <v>742</v>
      </c>
      <c r="V4" s="127" t="s">
        <v>571</v>
      </c>
      <c r="W4" s="122" t="s">
        <v>332</v>
      </c>
      <c r="X4" s="43" t="s">
        <v>157</v>
      </c>
      <c r="Y4" s="43"/>
      <c r="Z4" s="43"/>
      <c r="AA4" s="43" t="s">
        <v>332</v>
      </c>
      <c r="AB4" s="43"/>
      <c r="AC4" s="43"/>
      <c r="AD4" s="43" t="s">
        <v>959</v>
      </c>
    </row>
    <row r="5" spans="1:30" ht="58.5" customHeight="1" x14ac:dyDescent="0.25">
      <c r="A5" s="44" t="s">
        <v>904</v>
      </c>
      <c r="B5" s="44" t="s">
        <v>601</v>
      </c>
      <c r="C5" s="73" t="s">
        <v>345</v>
      </c>
      <c r="D5" s="73" t="s">
        <v>594</v>
      </c>
      <c r="E5" s="73" t="s">
        <v>650</v>
      </c>
      <c r="F5" s="44" t="s">
        <v>0</v>
      </c>
      <c r="G5" s="44" t="s">
        <v>332</v>
      </c>
      <c r="H5" s="73" t="s">
        <v>157</v>
      </c>
      <c r="I5" s="73" t="s">
        <v>680</v>
      </c>
      <c r="J5" s="73" t="s">
        <v>548</v>
      </c>
      <c r="K5" s="87">
        <v>44281</v>
      </c>
      <c r="L5" s="44" t="s">
        <v>0</v>
      </c>
      <c r="M5" s="44" t="s">
        <v>0</v>
      </c>
      <c r="N5" s="73" t="s">
        <v>36</v>
      </c>
      <c r="O5" s="44"/>
      <c r="P5" s="44"/>
      <c r="Q5" s="44"/>
      <c r="R5" s="44"/>
      <c r="S5" s="44"/>
      <c r="T5" s="44"/>
      <c r="U5" s="43" t="s">
        <v>742</v>
      </c>
      <c r="V5" s="127" t="s">
        <v>0</v>
      </c>
      <c r="W5" s="122" t="s">
        <v>332</v>
      </c>
      <c r="X5" s="43" t="s">
        <v>157</v>
      </c>
      <c r="Y5" s="43"/>
      <c r="Z5" s="43"/>
      <c r="AA5" s="43" t="s">
        <v>332</v>
      </c>
      <c r="AB5" s="43"/>
      <c r="AC5" s="43"/>
      <c r="AD5" s="43" t="s">
        <v>649</v>
      </c>
    </row>
    <row r="6" spans="1:30" x14ac:dyDescent="0.25">
      <c r="A6" s="44" t="s">
        <v>904</v>
      </c>
      <c r="B6" s="44" t="s">
        <v>601</v>
      </c>
      <c r="C6" s="73" t="s">
        <v>345</v>
      </c>
      <c r="D6" s="73" t="s">
        <v>594</v>
      </c>
      <c r="E6" s="73" t="s">
        <v>650</v>
      </c>
      <c r="F6" s="44" t="s">
        <v>380</v>
      </c>
      <c r="G6" s="73" t="s">
        <v>419</v>
      </c>
      <c r="H6" s="73" t="s">
        <v>188</v>
      </c>
      <c r="I6" s="73" t="s">
        <v>341</v>
      </c>
      <c r="J6" s="73" t="s">
        <v>548</v>
      </c>
      <c r="K6" s="87">
        <v>44278</v>
      </c>
      <c r="L6" s="44" t="s">
        <v>380</v>
      </c>
      <c r="M6" s="44" t="s">
        <v>380</v>
      </c>
      <c r="N6" s="73"/>
      <c r="O6" s="44" t="s">
        <v>1206</v>
      </c>
      <c r="P6" s="44" t="s">
        <v>1210</v>
      </c>
      <c r="Q6" s="44" t="s">
        <v>380</v>
      </c>
      <c r="R6" s="44"/>
      <c r="S6" s="73"/>
      <c r="T6" s="44"/>
      <c r="U6" s="43" t="s">
        <v>742</v>
      </c>
      <c r="V6" s="112" t="s">
        <v>380</v>
      </c>
      <c r="W6" s="62" t="s">
        <v>1370</v>
      </c>
      <c r="X6" s="43" t="s">
        <v>188</v>
      </c>
      <c r="Y6" s="43"/>
      <c r="Z6" s="43"/>
      <c r="AA6" s="43" t="s">
        <v>419</v>
      </c>
      <c r="AB6" s="43"/>
      <c r="AC6" s="43"/>
      <c r="AD6" s="43" t="s">
        <v>968</v>
      </c>
    </row>
    <row r="7" spans="1:30" ht="63.75" x14ac:dyDescent="0.25">
      <c r="A7" s="44" t="s">
        <v>904</v>
      </c>
      <c r="B7" s="44" t="s">
        <v>601</v>
      </c>
      <c r="C7" s="73" t="s">
        <v>345</v>
      </c>
      <c r="D7" s="73" t="s">
        <v>594</v>
      </c>
      <c r="E7" s="73" t="s">
        <v>650</v>
      </c>
      <c r="F7" s="44" t="s">
        <v>159</v>
      </c>
      <c r="G7" s="44" t="s">
        <v>332</v>
      </c>
      <c r="H7" s="73" t="s">
        <v>157</v>
      </c>
      <c r="I7" s="73" t="s">
        <v>690</v>
      </c>
      <c r="J7" s="73" t="s">
        <v>548</v>
      </c>
      <c r="K7" s="87">
        <v>44278</v>
      </c>
      <c r="L7" s="50" t="s">
        <v>159</v>
      </c>
      <c r="M7" s="50" t="s">
        <v>159</v>
      </c>
      <c r="N7" s="45" t="s">
        <v>36</v>
      </c>
      <c r="O7" s="44"/>
      <c r="P7" s="45"/>
      <c r="Q7" s="50"/>
      <c r="R7" s="44"/>
      <c r="S7" s="50"/>
      <c r="T7" s="50"/>
      <c r="U7" s="43" t="s">
        <v>742</v>
      </c>
      <c r="V7" s="112" t="s">
        <v>159</v>
      </c>
      <c r="W7" s="62" t="s">
        <v>332</v>
      </c>
      <c r="X7" s="43" t="s">
        <v>157</v>
      </c>
      <c r="Y7" s="43"/>
      <c r="Z7" s="43"/>
      <c r="AA7" s="43" t="s">
        <v>332</v>
      </c>
      <c r="AB7" s="43"/>
      <c r="AC7" s="43"/>
      <c r="AD7" s="43" t="s">
        <v>963</v>
      </c>
    </row>
    <row r="8" spans="1:30" ht="38.25" x14ac:dyDescent="0.25">
      <c r="A8" s="44" t="s">
        <v>904</v>
      </c>
      <c r="B8" s="44" t="s">
        <v>601</v>
      </c>
      <c r="C8" s="73" t="s">
        <v>345</v>
      </c>
      <c r="D8" s="73" t="s">
        <v>594</v>
      </c>
      <c r="E8" s="73" t="s">
        <v>650</v>
      </c>
      <c r="F8" s="44" t="s">
        <v>400</v>
      </c>
      <c r="G8" s="73" t="s">
        <v>404</v>
      </c>
      <c r="H8" s="73" t="s">
        <v>164</v>
      </c>
      <c r="I8" s="73" t="s">
        <v>421</v>
      </c>
      <c r="J8" s="73" t="s">
        <v>549</v>
      </c>
      <c r="K8" s="87">
        <v>44278</v>
      </c>
      <c r="L8" s="44" t="s">
        <v>400</v>
      </c>
      <c r="M8" s="44" t="s">
        <v>400</v>
      </c>
      <c r="N8" s="73"/>
      <c r="O8" s="44" t="s">
        <v>1206</v>
      </c>
      <c r="P8" s="44" t="s">
        <v>1210</v>
      </c>
      <c r="Q8" s="44" t="s">
        <v>969</v>
      </c>
      <c r="R8" s="44"/>
      <c r="S8" s="73"/>
      <c r="T8" s="44"/>
      <c r="U8" s="43" t="s">
        <v>742</v>
      </c>
      <c r="V8" s="112" t="s">
        <v>400</v>
      </c>
      <c r="W8" s="62" t="s">
        <v>404</v>
      </c>
      <c r="X8" s="43" t="s">
        <v>164</v>
      </c>
      <c r="Y8" s="43"/>
      <c r="Z8" s="43"/>
      <c r="AA8" s="43" t="s">
        <v>404</v>
      </c>
      <c r="AB8" s="43"/>
      <c r="AC8" s="43"/>
      <c r="AD8" s="43" t="s">
        <v>963</v>
      </c>
    </row>
    <row r="9" spans="1:30" x14ac:dyDescent="0.25">
      <c r="A9" s="44" t="s">
        <v>904</v>
      </c>
      <c r="B9" s="44" t="s">
        <v>601</v>
      </c>
      <c r="C9" s="73" t="s">
        <v>345</v>
      </c>
      <c r="D9" s="73" t="s">
        <v>594</v>
      </c>
      <c r="E9" s="73" t="s">
        <v>650</v>
      </c>
      <c r="F9" s="44" t="s">
        <v>401</v>
      </c>
      <c r="G9" s="73" t="s">
        <v>405</v>
      </c>
      <c r="H9" s="73" t="s">
        <v>164</v>
      </c>
      <c r="I9" s="73" t="s">
        <v>422</v>
      </c>
      <c r="J9" s="73"/>
      <c r="K9" s="87">
        <v>44278</v>
      </c>
      <c r="L9" s="44" t="s">
        <v>401</v>
      </c>
      <c r="M9" s="44" t="s">
        <v>401</v>
      </c>
      <c r="N9" s="73"/>
      <c r="O9" s="44" t="s">
        <v>1206</v>
      </c>
      <c r="P9" s="44" t="s">
        <v>1210</v>
      </c>
      <c r="Q9" s="44" t="s">
        <v>970</v>
      </c>
      <c r="R9" s="44"/>
      <c r="S9" s="73"/>
      <c r="T9" s="44"/>
      <c r="U9" s="43" t="s">
        <v>742</v>
      </c>
      <c r="V9" s="112" t="s">
        <v>401</v>
      </c>
      <c r="W9" s="62" t="s">
        <v>405</v>
      </c>
      <c r="X9" s="43" t="s">
        <v>164</v>
      </c>
      <c r="Y9" s="43"/>
      <c r="Z9" s="43"/>
      <c r="AA9" s="43" t="s">
        <v>405</v>
      </c>
      <c r="AB9" s="43"/>
      <c r="AC9" s="43"/>
      <c r="AD9" s="43" t="s">
        <v>963</v>
      </c>
    </row>
    <row r="10" spans="1:30" x14ac:dyDescent="0.25">
      <c r="A10" s="44" t="s">
        <v>904</v>
      </c>
      <c r="B10" s="44" t="s">
        <v>601</v>
      </c>
      <c r="C10" s="73" t="s">
        <v>345</v>
      </c>
      <c r="D10" s="73" t="s">
        <v>594</v>
      </c>
      <c r="E10" s="73" t="s">
        <v>650</v>
      </c>
      <c r="F10" s="44" t="s">
        <v>402</v>
      </c>
      <c r="G10" s="73" t="s">
        <v>406</v>
      </c>
      <c r="H10" s="73" t="s">
        <v>164</v>
      </c>
      <c r="I10" s="73" t="s">
        <v>423</v>
      </c>
      <c r="J10" s="73"/>
      <c r="K10" s="87">
        <v>44278</v>
      </c>
      <c r="L10" s="44" t="s">
        <v>402</v>
      </c>
      <c r="M10" s="44" t="s">
        <v>402</v>
      </c>
      <c r="N10" s="73"/>
      <c r="O10" s="44" t="s">
        <v>1206</v>
      </c>
      <c r="P10" s="44" t="s">
        <v>1210</v>
      </c>
      <c r="Q10" s="44" t="s">
        <v>971</v>
      </c>
      <c r="R10" s="44"/>
      <c r="S10" s="73"/>
      <c r="T10" s="44"/>
      <c r="U10" s="43" t="s">
        <v>742</v>
      </c>
      <c r="V10" s="112" t="s">
        <v>402</v>
      </c>
      <c r="W10" s="62" t="s">
        <v>406</v>
      </c>
      <c r="X10" s="43" t="s">
        <v>164</v>
      </c>
      <c r="Y10" s="43"/>
      <c r="Z10" s="43"/>
      <c r="AA10" s="43" t="s">
        <v>406</v>
      </c>
      <c r="AB10" s="43"/>
      <c r="AC10" s="43"/>
      <c r="AD10" s="43" t="s">
        <v>963</v>
      </c>
    </row>
    <row r="11" spans="1:30" x14ac:dyDescent="0.25">
      <c r="A11" s="44" t="s">
        <v>904</v>
      </c>
      <c r="B11" s="44" t="s">
        <v>601</v>
      </c>
      <c r="C11" s="73" t="s">
        <v>345</v>
      </c>
      <c r="D11" s="73" t="s">
        <v>594</v>
      </c>
      <c r="E11" s="73" t="s">
        <v>650</v>
      </c>
      <c r="F11" s="44" t="s">
        <v>403</v>
      </c>
      <c r="G11" s="73" t="s">
        <v>407</v>
      </c>
      <c r="H11" s="73" t="s">
        <v>164</v>
      </c>
      <c r="I11" s="73" t="s">
        <v>424</v>
      </c>
      <c r="J11" s="73"/>
      <c r="K11" s="87">
        <v>44278</v>
      </c>
      <c r="L11" s="44" t="s">
        <v>403</v>
      </c>
      <c r="M11" s="44" t="s">
        <v>403</v>
      </c>
      <c r="N11" s="73"/>
      <c r="O11" s="44" t="s">
        <v>1206</v>
      </c>
      <c r="P11" s="44" t="s">
        <v>1210</v>
      </c>
      <c r="Q11" s="44" t="s">
        <v>972</v>
      </c>
      <c r="R11" s="44"/>
      <c r="S11" s="73"/>
      <c r="T11" s="44"/>
      <c r="U11" s="43" t="s">
        <v>742</v>
      </c>
      <c r="V11" s="112" t="s">
        <v>403</v>
      </c>
      <c r="W11" s="62" t="s">
        <v>407</v>
      </c>
      <c r="X11" s="43" t="s">
        <v>164</v>
      </c>
      <c r="Y11" s="43"/>
      <c r="Z11" s="43"/>
      <c r="AA11" s="43" t="s">
        <v>407</v>
      </c>
      <c r="AB11" s="43"/>
      <c r="AC11" s="43"/>
      <c r="AD11" s="43" t="s">
        <v>963</v>
      </c>
    </row>
    <row r="12" spans="1:30" x14ac:dyDescent="0.25">
      <c r="A12" s="44" t="s">
        <v>904</v>
      </c>
      <c r="B12" s="44" t="s">
        <v>601</v>
      </c>
      <c r="C12" s="73" t="s">
        <v>345</v>
      </c>
      <c r="D12" s="73" t="s">
        <v>594</v>
      </c>
      <c r="E12" s="73" t="s">
        <v>650</v>
      </c>
      <c r="F12" s="44" t="s">
        <v>168</v>
      </c>
      <c r="G12" s="73" t="s">
        <v>410</v>
      </c>
      <c r="H12" s="73" t="s">
        <v>157</v>
      </c>
      <c r="I12" s="73" t="s">
        <v>373</v>
      </c>
      <c r="J12" s="73"/>
      <c r="K12" s="87">
        <v>44278</v>
      </c>
      <c r="L12" s="50" t="s">
        <v>168</v>
      </c>
      <c r="M12" s="50"/>
      <c r="N12" s="45"/>
      <c r="O12" s="44" t="s">
        <v>1206</v>
      </c>
      <c r="P12" s="44" t="s">
        <v>1210</v>
      </c>
      <c r="Q12" s="44" t="s">
        <v>168</v>
      </c>
      <c r="R12" s="44"/>
      <c r="S12" s="45"/>
      <c r="T12" s="50"/>
      <c r="U12" s="43" t="s">
        <v>742</v>
      </c>
      <c r="V12" s="112" t="s">
        <v>168</v>
      </c>
      <c r="W12" s="62" t="s">
        <v>410</v>
      </c>
      <c r="X12" s="43" t="s">
        <v>157</v>
      </c>
      <c r="Y12" s="43"/>
      <c r="Z12" s="43"/>
      <c r="AA12" s="43" t="s">
        <v>410</v>
      </c>
      <c r="AB12" s="43"/>
      <c r="AC12" s="43"/>
      <c r="AD12" s="43" t="s">
        <v>963</v>
      </c>
    </row>
    <row r="13" spans="1:30" ht="38.25" x14ac:dyDescent="0.25">
      <c r="A13" s="44" t="s">
        <v>904</v>
      </c>
      <c r="B13" s="44" t="s">
        <v>601</v>
      </c>
      <c r="C13" s="73" t="s">
        <v>345</v>
      </c>
      <c r="D13" s="73" t="s">
        <v>594</v>
      </c>
      <c r="E13" s="73" t="s">
        <v>650</v>
      </c>
      <c r="F13" s="73" t="s">
        <v>569</v>
      </c>
      <c r="G13" s="73" t="s">
        <v>332</v>
      </c>
      <c r="H13" s="73" t="s">
        <v>157</v>
      </c>
      <c r="I13" s="73" t="s">
        <v>688</v>
      </c>
      <c r="J13" s="73" t="s">
        <v>556</v>
      </c>
      <c r="K13" s="87">
        <v>44278</v>
      </c>
      <c r="L13" s="44" t="s">
        <v>569</v>
      </c>
      <c r="M13" s="44" t="s">
        <v>569</v>
      </c>
      <c r="N13" s="73" t="s">
        <v>36</v>
      </c>
      <c r="O13" s="44" t="s">
        <v>1206</v>
      </c>
      <c r="P13" s="44" t="s">
        <v>1210</v>
      </c>
      <c r="Q13" s="44" t="s">
        <v>955</v>
      </c>
      <c r="R13" s="44"/>
      <c r="S13" s="73"/>
      <c r="T13" s="44"/>
      <c r="U13" s="43"/>
      <c r="V13" s="112" t="s">
        <v>569</v>
      </c>
      <c r="W13" s="62" t="s">
        <v>332</v>
      </c>
      <c r="X13" s="43" t="s">
        <v>157</v>
      </c>
      <c r="Y13" s="43"/>
      <c r="Z13" s="43"/>
      <c r="AA13" s="43" t="s">
        <v>332</v>
      </c>
      <c r="AB13" s="43"/>
      <c r="AC13" s="43"/>
      <c r="AD13" s="43" t="s">
        <v>963</v>
      </c>
    </row>
    <row r="14" spans="1:30" x14ac:dyDescent="0.25">
      <c r="A14" s="44" t="s">
        <v>904</v>
      </c>
      <c r="B14" s="44" t="s">
        <v>601</v>
      </c>
      <c r="C14" s="73" t="s">
        <v>345</v>
      </c>
      <c r="D14" s="73" t="s">
        <v>594</v>
      </c>
      <c r="E14" s="73" t="s">
        <v>650</v>
      </c>
      <c r="F14" s="44" t="s">
        <v>237</v>
      </c>
      <c r="G14" s="73" t="s">
        <v>417</v>
      </c>
      <c r="H14" s="73" t="s">
        <v>45</v>
      </c>
      <c r="I14" s="73" t="s">
        <v>416</v>
      </c>
      <c r="J14" s="73" t="s">
        <v>548</v>
      </c>
      <c r="K14" s="87">
        <v>44278</v>
      </c>
      <c r="L14" s="44" t="s">
        <v>237</v>
      </c>
      <c r="M14" s="44" t="s">
        <v>237</v>
      </c>
      <c r="N14" s="73"/>
      <c r="O14" s="44" t="s">
        <v>1206</v>
      </c>
      <c r="P14" s="44" t="s">
        <v>1210</v>
      </c>
      <c r="Q14" s="44" t="s">
        <v>980</v>
      </c>
      <c r="R14" s="44"/>
      <c r="S14" s="73"/>
      <c r="T14" s="44"/>
      <c r="U14" s="43"/>
      <c r="V14" s="112" t="s">
        <v>237</v>
      </c>
      <c r="W14" s="62" t="s">
        <v>417</v>
      </c>
      <c r="X14" s="43" t="s">
        <v>45</v>
      </c>
      <c r="Y14" s="43"/>
      <c r="Z14" s="43"/>
      <c r="AA14" s="43" t="s">
        <v>417</v>
      </c>
      <c r="AB14" s="43"/>
      <c r="AC14" s="43"/>
      <c r="AD14" s="43" t="s">
        <v>981</v>
      </c>
    </row>
    <row r="15" spans="1:30" ht="25.5" x14ac:dyDescent="0.25">
      <c r="A15" s="44" t="s">
        <v>904</v>
      </c>
      <c r="B15" s="44" t="s">
        <v>601</v>
      </c>
      <c r="C15" s="73" t="s">
        <v>345</v>
      </c>
      <c r="D15" s="73" t="s">
        <v>594</v>
      </c>
      <c r="E15" s="73" t="s">
        <v>650</v>
      </c>
      <c r="F15" s="73" t="s">
        <v>576</v>
      </c>
      <c r="G15" s="44" t="s">
        <v>332</v>
      </c>
      <c r="H15" s="73" t="s">
        <v>201</v>
      </c>
      <c r="I15" s="73" t="s">
        <v>687</v>
      </c>
      <c r="J15" s="73" t="s">
        <v>557</v>
      </c>
      <c r="K15" s="87">
        <v>44278</v>
      </c>
      <c r="L15" s="44" t="s">
        <v>576</v>
      </c>
      <c r="M15" s="44" t="s">
        <v>576</v>
      </c>
      <c r="N15" s="73"/>
      <c r="O15" s="44" t="s">
        <v>1206</v>
      </c>
      <c r="P15" s="44" t="s">
        <v>1210</v>
      </c>
      <c r="Q15" s="44" t="s">
        <v>1029</v>
      </c>
      <c r="R15" s="44"/>
      <c r="S15" s="44"/>
      <c r="T15" s="44"/>
      <c r="U15" s="43"/>
      <c r="V15" s="112" t="s">
        <v>576</v>
      </c>
      <c r="W15" s="62" t="s">
        <v>332</v>
      </c>
      <c r="X15" s="43" t="s">
        <v>201</v>
      </c>
      <c r="Y15" s="43"/>
      <c r="Z15" s="43"/>
      <c r="AA15" s="43" t="s">
        <v>332</v>
      </c>
      <c r="AB15" s="43"/>
      <c r="AC15" s="43"/>
      <c r="AD15" s="43" t="s">
        <v>963</v>
      </c>
    </row>
    <row r="16" spans="1:30" ht="63.75" x14ac:dyDescent="0.25">
      <c r="A16" s="44" t="s">
        <v>904</v>
      </c>
      <c r="B16" s="44" t="s">
        <v>601</v>
      </c>
      <c r="C16" s="73" t="s">
        <v>345</v>
      </c>
      <c r="D16" s="73" t="s">
        <v>594</v>
      </c>
      <c r="E16" s="73" t="s">
        <v>650</v>
      </c>
      <c r="F16" s="73" t="s">
        <v>572</v>
      </c>
      <c r="G16" s="73" t="s">
        <v>332</v>
      </c>
      <c r="H16" s="73" t="s">
        <v>157</v>
      </c>
      <c r="I16" s="73" t="s">
        <v>686</v>
      </c>
      <c r="J16" s="73" t="s">
        <v>548</v>
      </c>
      <c r="K16" s="87">
        <v>44278</v>
      </c>
      <c r="L16" s="44" t="s">
        <v>572</v>
      </c>
      <c r="M16" s="44" t="s">
        <v>572</v>
      </c>
      <c r="N16" s="73" t="s">
        <v>36</v>
      </c>
      <c r="O16" s="44" t="s">
        <v>1206</v>
      </c>
      <c r="P16" s="73" t="s">
        <v>1211</v>
      </c>
      <c r="Q16" s="44" t="s">
        <v>572</v>
      </c>
      <c r="R16" s="44"/>
      <c r="S16" s="73"/>
      <c r="T16" s="44"/>
      <c r="U16" s="43"/>
      <c r="V16" s="112" t="s">
        <v>572</v>
      </c>
      <c r="W16" s="62" t="s">
        <v>1403</v>
      </c>
      <c r="X16" s="43" t="s">
        <v>157</v>
      </c>
      <c r="Y16" s="43"/>
      <c r="Z16" s="43"/>
      <c r="AA16" s="43" t="s">
        <v>332</v>
      </c>
      <c r="AB16" s="43"/>
      <c r="AC16" s="43"/>
      <c r="AD16" s="43" t="s">
        <v>963</v>
      </c>
    </row>
    <row r="17" spans="1:30" x14ac:dyDescent="0.25">
      <c r="A17" s="44" t="s">
        <v>904</v>
      </c>
      <c r="B17" s="44" t="s">
        <v>601</v>
      </c>
      <c r="C17" s="73" t="s">
        <v>345</v>
      </c>
      <c r="D17" s="73" t="s">
        <v>594</v>
      </c>
      <c r="E17" s="73" t="s">
        <v>650</v>
      </c>
      <c r="F17" s="44" t="s">
        <v>558</v>
      </c>
      <c r="G17" s="73" t="s">
        <v>396</v>
      </c>
      <c r="H17" s="73" t="s">
        <v>157</v>
      </c>
      <c r="I17" s="73" t="s">
        <v>563</v>
      </c>
      <c r="J17" s="73" t="s">
        <v>552</v>
      </c>
      <c r="K17" s="87">
        <v>44278</v>
      </c>
      <c r="L17" s="50" t="s">
        <v>558</v>
      </c>
      <c r="M17" s="50"/>
      <c r="N17" s="45"/>
      <c r="O17" s="44" t="s">
        <v>1206</v>
      </c>
      <c r="P17" s="44" t="s">
        <v>1210</v>
      </c>
      <c r="Q17" s="44" t="s">
        <v>558</v>
      </c>
      <c r="R17" s="44"/>
      <c r="S17" s="73"/>
      <c r="T17" s="44"/>
      <c r="U17" s="43"/>
      <c r="V17" s="112" t="s">
        <v>558</v>
      </c>
      <c r="W17" s="62" t="s">
        <v>1371</v>
      </c>
      <c r="X17" s="43" t="s">
        <v>157</v>
      </c>
      <c r="Y17" s="43"/>
      <c r="Z17" s="43"/>
      <c r="AA17" s="43" t="s">
        <v>396</v>
      </c>
      <c r="AB17" s="43"/>
      <c r="AC17" s="43"/>
      <c r="AD17" s="43" t="str">
        <f t="shared" ref="AD17:AD31" si="0">I17</f>
        <v>Hur många veckor i beräkningsperioden (Reference Period)</v>
      </c>
    </row>
    <row r="18" spans="1:30" ht="38.25" x14ac:dyDescent="0.25">
      <c r="A18" s="44" t="s">
        <v>904</v>
      </c>
      <c r="B18" s="44" t="s">
        <v>601</v>
      </c>
      <c r="C18" s="73" t="s">
        <v>345</v>
      </c>
      <c r="D18" s="73" t="s">
        <v>594</v>
      </c>
      <c r="E18" s="73" t="s">
        <v>650</v>
      </c>
      <c r="F18" s="44" t="s">
        <v>544</v>
      </c>
      <c r="G18" s="44" t="s">
        <v>332</v>
      </c>
      <c r="H18" s="73" t="s">
        <v>157</v>
      </c>
      <c r="I18" s="73" t="s">
        <v>395</v>
      </c>
      <c r="J18" s="73" t="s">
        <v>546</v>
      </c>
      <c r="K18" s="87">
        <v>44278</v>
      </c>
      <c r="L18" s="50" t="s">
        <v>544</v>
      </c>
      <c r="M18" s="50"/>
      <c r="N18" s="45" t="s">
        <v>36</v>
      </c>
      <c r="O18" s="44" t="s">
        <v>1206</v>
      </c>
      <c r="P18" s="44" t="s">
        <v>1210</v>
      </c>
      <c r="Q18" s="44" t="s">
        <v>544</v>
      </c>
      <c r="R18" s="44"/>
      <c r="S18" s="44"/>
      <c r="T18" s="44"/>
      <c r="U18" s="43"/>
      <c r="V18" s="112" t="s">
        <v>544</v>
      </c>
      <c r="W18" s="62" t="s">
        <v>332</v>
      </c>
      <c r="X18" s="43" t="s">
        <v>157</v>
      </c>
      <c r="Y18" s="43"/>
      <c r="Z18" s="43"/>
      <c r="AA18" s="43" t="s">
        <v>332</v>
      </c>
      <c r="AB18" s="43"/>
      <c r="AC18" s="43"/>
      <c r="AD18" s="43" t="str">
        <f t="shared" si="0"/>
        <v xml:space="preserve">Avtalsmall (anställning) Härleda i framtid scenarion om mallar används eller ej 
</v>
      </c>
    </row>
    <row r="19" spans="1:30" ht="25.5" x14ac:dyDescent="0.25">
      <c r="A19" s="44" t="s">
        <v>904</v>
      </c>
      <c r="B19" s="44" t="s">
        <v>601</v>
      </c>
      <c r="C19" s="73" t="s">
        <v>345</v>
      </c>
      <c r="D19" s="73" t="s">
        <v>594</v>
      </c>
      <c r="E19" s="73" t="s">
        <v>650</v>
      </c>
      <c r="F19" s="44" t="s">
        <v>545</v>
      </c>
      <c r="G19" s="73" t="s">
        <v>397</v>
      </c>
      <c r="H19" s="73" t="s">
        <v>188</v>
      </c>
      <c r="I19" s="73" t="s">
        <v>398</v>
      </c>
      <c r="J19" s="73" t="s">
        <v>546</v>
      </c>
      <c r="K19" s="87">
        <v>44278</v>
      </c>
      <c r="L19" s="50" t="s">
        <v>545</v>
      </c>
      <c r="M19" s="50"/>
      <c r="N19" s="45"/>
      <c r="O19" s="44" t="s">
        <v>1206</v>
      </c>
      <c r="P19" s="44" t="s">
        <v>1210</v>
      </c>
      <c r="Q19" s="44" t="s">
        <v>545</v>
      </c>
      <c r="R19" s="44"/>
      <c r="S19" s="73"/>
      <c r="T19" s="44"/>
      <c r="U19" s="43"/>
      <c r="V19" s="112" t="s">
        <v>545</v>
      </c>
      <c r="W19" s="62" t="s">
        <v>1372</v>
      </c>
      <c r="X19" s="43" t="s">
        <v>188</v>
      </c>
      <c r="Y19" s="43"/>
      <c r="Z19" s="43"/>
      <c r="AA19" s="43" t="s">
        <v>397</v>
      </c>
      <c r="AB19" s="43"/>
      <c r="AC19" s="43"/>
      <c r="AD19" s="43" t="str">
        <f t="shared" si="0"/>
        <v xml:space="preserve">Avtalat heltidsmått
</v>
      </c>
    </row>
    <row r="20" spans="1:30" x14ac:dyDescent="0.25">
      <c r="A20" s="44" t="s">
        <v>904</v>
      </c>
      <c r="B20" s="44" t="s">
        <v>601</v>
      </c>
      <c r="C20" s="73" t="s">
        <v>345</v>
      </c>
      <c r="D20" s="73" t="s">
        <v>594</v>
      </c>
      <c r="E20" s="73" t="s">
        <v>650</v>
      </c>
      <c r="F20" s="44" t="s">
        <v>559</v>
      </c>
      <c r="G20" s="73" t="s">
        <v>377</v>
      </c>
      <c r="H20" s="73" t="s">
        <v>179</v>
      </c>
      <c r="I20" s="73" t="s">
        <v>371</v>
      </c>
      <c r="J20" s="73" t="s">
        <v>547</v>
      </c>
      <c r="K20" s="87">
        <v>44278</v>
      </c>
      <c r="L20" s="44" t="s">
        <v>559</v>
      </c>
      <c r="M20" s="44" t="s">
        <v>559</v>
      </c>
      <c r="N20" s="73"/>
      <c r="O20" s="44" t="s">
        <v>1206</v>
      </c>
      <c r="P20" s="44" t="s">
        <v>1210</v>
      </c>
      <c r="Q20" s="44" t="s">
        <v>982</v>
      </c>
      <c r="R20" s="44"/>
      <c r="S20" s="73"/>
      <c r="T20" s="44"/>
      <c r="U20" s="43"/>
      <c r="V20" s="112" t="s">
        <v>559</v>
      </c>
      <c r="W20" s="62" t="s">
        <v>377</v>
      </c>
      <c r="X20" s="43" t="s">
        <v>179</v>
      </c>
      <c r="Y20" s="43"/>
      <c r="Z20" s="43"/>
      <c r="AA20" s="43" t="s">
        <v>377</v>
      </c>
      <c r="AB20" s="43"/>
      <c r="AC20" s="43"/>
      <c r="AD20" s="43" t="str">
        <f t="shared" si="0"/>
        <v>SHCMS code (k11, K26… Per.Kat</v>
      </c>
    </row>
    <row r="21" spans="1:30" x14ac:dyDescent="0.25">
      <c r="A21" s="44" t="s">
        <v>904</v>
      </c>
      <c r="B21" s="44" t="s">
        <v>601</v>
      </c>
      <c r="C21" s="73" t="s">
        <v>345</v>
      </c>
      <c r="D21" s="73" t="s">
        <v>594</v>
      </c>
      <c r="E21" s="73" t="s">
        <v>650</v>
      </c>
      <c r="F21" s="44" t="s">
        <v>564</v>
      </c>
      <c r="G21" s="73" t="s">
        <v>565</v>
      </c>
      <c r="H21" s="73" t="s">
        <v>179</v>
      </c>
      <c r="I21" s="73" t="s">
        <v>411</v>
      </c>
      <c r="J21" s="73" t="s">
        <v>546</v>
      </c>
      <c r="K21" s="87">
        <v>44278</v>
      </c>
      <c r="L21" s="44" t="s">
        <v>950</v>
      </c>
      <c r="M21" s="44" t="s">
        <v>950</v>
      </c>
      <c r="N21" s="73" t="s">
        <v>36</v>
      </c>
      <c r="O21" s="44" t="s">
        <v>1206</v>
      </c>
      <c r="P21" s="44" t="s">
        <v>1210</v>
      </c>
      <c r="Q21" s="44" t="s">
        <v>564</v>
      </c>
      <c r="R21" s="44"/>
      <c r="S21" s="73"/>
      <c r="T21" s="44"/>
      <c r="U21" s="43"/>
      <c r="V21" s="112" t="s">
        <v>564</v>
      </c>
      <c r="W21" s="62" t="s">
        <v>565</v>
      </c>
      <c r="X21" s="43" t="s">
        <v>179</v>
      </c>
      <c r="Y21" s="43"/>
      <c r="Z21" s="43"/>
      <c r="AA21" s="43" t="s">
        <v>565</v>
      </c>
      <c r="AB21" s="43"/>
      <c r="AC21" s="43"/>
      <c r="AD21" s="43" t="str">
        <f t="shared" si="0"/>
        <v>badgeNo = employee number</v>
      </c>
    </row>
    <row r="22" spans="1:30" ht="38.25" x14ac:dyDescent="0.25">
      <c r="A22" s="44" t="s">
        <v>904</v>
      </c>
      <c r="B22" s="44" t="s">
        <v>601</v>
      </c>
      <c r="C22" s="73" t="s">
        <v>345</v>
      </c>
      <c r="D22" s="73" t="s">
        <v>594</v>
      </c>
      <c r="E22" s="73" t="s">
        <v>650</v>
      </c>
      <c r="F22" s="44" t="s">
        <v>408</v>
      </c>
      <c r="G22" s="73" t="s">
        <v>412</v>
      </c>
      <c r="H22" s="73" t="s">
        <v>164</v>
      </c>
      <c r="I22" s="73" t="s">
        <v>672</v>
      </c>
      <c r="J22" s="73" t="s">
        <v>548</v>
      </c>
      <c r="K22" s="87">
        <v>44278</v>
      </c>
      <c r="L22" s="44" t="s">
        <v>408</v>
      </c>
      <c r="M22" s="44" t="s">
        <v>408</v>
      </c>
      <c r="N22" s="73"/>
      <c r="O22" s="44" t="s">
        <v>1206</v>
      </c>
      <c r="P22" s="44" t="s">
        <v>1210</v>
      </c>
      <c r="Q22" s="44" t="s">
        <v>973</v>
      </c>
      <c r="R22" s="44"/>
      <c r="S22" s="73"/>
      <c r="T22" s="44"/>
      <c r="U22" s="43"/>
      <c r="V22" s="112" t="s">
        <v>408</v>
      </c>
      <c r="W22" s="62" t="s">
        <v>1373</v>
      </c>
      <c r="X22" s="43" t="s">
        <v>164</v>
      </c>
      <c r="Y22" s="43"/>
      <c r="Z22" s="43"/>
      <c r="AA22" s="43" t="s">
        <v>412</v>
      </c>
      <c r="AB22" s="43"/>
      <c r="AC22" s="43"/>
      <c r="AD22" s="43" t="str">
        <f t="shared" si="0"/>
        <v>System API utveckling skapar en lista enligt "breaks"
Borde vara en gemensam lista som heter breaks och innehåller start och slut på raster</v>
      </c>
    </row>
    <row r="23" spans="1:30" x14ac:dyDescent="0.25">
      <c r="A23" s="44" t="s">
        <v>904</v>
      </c>
      <c r="B23" s="44" t="s">
        <v>601</v>
      </c>
      <c r="C23" s="73" t="s">
        <v>345</v>
      </c>
      <c r="D23" s="73" t="s">
        <v>594</v>
      </c>
      <c r="E23" s="73" t="s">
        <v>650</v>
      </c>
      <c r="F23" s="44" t="s">
        <v>172</v>
      </c>
      <c r="G23" s="73" t="s">
        <v>413</v>
      </c>
      <c r="H23" s="73" t="s">
        <v>164</v>
      </c>
      <c r="I23" s="73" t="s">
        <v>420</v>
      </c>
      <c r="J23" s="73" t="s">
        <v>548</v>
      </c>
      <c r="K23" s="87">
        <v>44278</v>
      </c>
      <c r="L23" s="44" t="s">
        <v>172</v>
      </c>
      <c r="M23" s="44" t="s">
        <v>172</v>
      </c>
      <c r="N23" s="73"/>
      <c r="O23" s="44" t="s">
        <v>1206</v>
      </c>
      <c r="P23" s="44" t="s">
        <v>1210</v>
      </c>
      <c r="Q23" s="44" t="s">
        <v>974</v>
      </c>
      <c r="R23" s="44"/>
      <c r="S23" s="73"/>
      <c r="T23" s="44"/>
      <c r="U23" s="43"/>
      <c r="V23" s="112" t="s">
        <v>172</v>
      </c>
      <c r="W23" s="62" t="s">
        <v>1374</v>
      </c>
      <c r="X23" s="43" t="s">
        <v>164</v>
      </c>
      <c r="Y23" s="43"/>
      <c r="Z23" s="43"/>
      <c r="AA23" s="43" t="s">
        <v>413</v>
      </c>
      <c r="AB23" s="43"/>
      <c r="AC23" s="43"/>
      <c r="AD23" s="43" t="str">
        <f t="shared" si="0"/>
        <v>System API utveckling skapar en lista enligt "breaks"</v>
      </c>
    </row>
    <row r="24" spans="1:30" x14ac:dyDescent="0.25">
      <c r="A24" s="44" t="s">
        <v>904</v>
      </c>
      <c r="B24" s="44" t="s">
        <v>601</v>
      </c>
      <c r="C24" s="73" t="s">
        <v>345</v>
      </c>
      <c r="D24" s="73" t="s">
        <v>594</v>
      </c>
      <c r="E24" s="73" t="s">
        <v>650</v>
      </c>
      <c r="F24" s="44" t="s">
        <v>174</v>
      </c>
      <c r="G24" s="73" t="s">
        <v>414</v>
      </c>
      <c r="H24" s="73" t="s">
        <v>164</v>
      </c>
      <c r="I24" s="73" t="s">
        <v>420</v>
      </c>
      <c r="J24" s="73" t="s">
        <v>548</v>
      </c>
      <c r="K24" s="87">
        <v>44278</v>
      </c>
      <c r="L24" s="44" t="s">
        <v>174</v>
      </c>
      <c r="M24" s="44" t="s">
        <v>174</v>
      </c>
      <c r="N24" s="73"/>
      <c r="O24" s="44" t="s">
        <v>1206</v>
      </c>
      <c r="P24" s="44" t="s">
        <v>1210</v>
      </c>
      <c r="Q24" s="44" t="s">
        <v>975</v>
      </c>
      <c r="R24" s="44"/>
      <c r="S24" s="73"/>
      <c r="T24" s="44"/>
      <c r="U24" s="43"/>
      <c r="V24" s="112" t="s">
        <v>174</v>
      </c>
      <c r="W24" s="62" t="s">
        <v>1375</v>
      </c>
      <c r="X24" s="43" t="s">
        <v>164</v>
      </c>
      <c r="Y24" s="43"/>
      <c r="Z24" s="43"/>
      <c r="AA24" s="43" t="s">
        <v>414</v>
      </c>
      <c r="AB24" s="43"/>
      <c r="AC24" s="43"/>
      <c r="AD24" s="43" t="str">
        <f t="shared" si="0"/>
        <v>System API utveckling skapar en lista enligt "breaks"</v>
      </c>
    </row>
    <row r="25" spans="1:30" x14ac:dyDescent="0.25">
      <c r="A25" s="44" t="s">
        <v>904</v>
      </c>
      <c r="B25" s="44" t="s">
        <v>601</v>
      </c>
      <c r="C25" s="73" t="s">
        <v>345</v>
      </c>
      <c r="D25" s="73" t="s">
        <v>594</v>
      </c>
      <c r="E25" s="73" t="s">
        <v>650</v>
      </c>
      <c r="F25" s="44" t="s">
        <v>176</v>
      </c>
      <c r="G25" s="73" t="s">
        <v>415</v>
      </c>
      <c r="H25" s="73" t="s">
        <v>164</v>
      </c>
      <c r="I25" s="73" t="s">
        <v>420</v>
      </c>
      <c r="J25" s="73" t="s">
        <v>548</v>
      </c>
      <c r="K25" s="87">
        <v>44278</v>
      </c>
      <c r="L25" s="44" t="s">
        <v>176</v>
      </c>
      <c r="M25" s="44" t="s">
        <v>176</v>
      </c>
      <c r="N25" s="73"/>
      <c r="O25" s="44" t="s">
        <v>1206</v>
      </c>
      <c r="P25" s="44" t="s">
        <v>1210</v>
      </c>
      <c r="Q25" s="44" t="s">
        <v>976</v>
      </c>
      <c r="R25" s="44"/>
      <c r="S25" s="73"/>
      <c r="T25" s="44"/>
      <c r="U25" s="43"/>
      <c r="V25" s="113" t="s">
        <v>176</v>
      </c>
      <c r="W25" s="117" t="s">
        <v>1376</v>
      </c>
      <c r="X25" s="43" t="s">
        <v>164</v>
      </c>
      <c r="Y25" s="43"/>
      <c r="Z25" s="43"/>
      <c r="AA25" s="43" t="s">
        <v>415</v>
      </c>
      <c r="AB25" s="43"/>
      <c r="AC25" s="43"/>
      <c r="AD25" s="43" t="str">
        <f t="shared" si="0"/>
        <v>System API utveckling skapar en lista enligt "breaks"</v>
      </c>
    </row>
    <row r="26" spans="1:30" ht="25.5" x14ac:dyDescent="0.25">
      <c r="A26" s="44" t="s">
        <v>904</v>
      </c>
      <c r="B26" s="44" t="s">
        <v>601</v>
      </c>
      <c r="C26" s="73" t="s">
        <v>345</v>
      </c>
      <c r="D26" s="73" t="s">
        <v>594</v>
      </c>
      <c r="E26" s="73" t="s">
        <v>650</v>
      </c>
      <c r="F26" s="73" t="s">
        <v>573</v>
      </c>
      <c r="G26" s="73" t="s">
        <v>332</v>
      </c>
      <c r="H26" s="73" t="s">
        <v>1066</v>
      </c>
      <c r="I26" s="73" t="s">
        <v>592</v>
      </c>
      <c r="J26" s="73" t="s">
        <v>548</v>
      </c>
      <c r="K26" s="87">
        <v>44278</v>
      </c>
      <c r="L26" s="50" t="s">
        <v>573</v>
      </c>
      <c r="M26" s="50"/>
      <c r="N26" s="45"/>
      <c r="O26" s="44"/>
      <c r="P26" s="44"/>
      <c r="Q26" s="44"/>
      <c r="R26" s="44"/>
      <c r="S26" s="73"/>
      <c r="T26" s="44"/>
      <c r="U26" s="43"/>
      <c r="V26" s="112" t="s">
        <v>573</v>
      </c>
      <c r="W26" s="62" t="s">
        <v>332</v>
      </c>
      <c r="X26" s="43" t="s">
        <v>1066</v>
      </c>
      <c r="Y26" s="43"/>
      <c r="Z26" s="43"/>
      <c r="AA26" s="43" t="s">
        <v>332</v>
      </c>
      <c r="AB26" s="43"/>
      <c r="AC26" s="43"/>
      <c r="AD26" s="43" t="str">
        <f t="shared" si="0"/>
        <v>0 - unassigned, 1 - assigned, 2 - NOI
Business rule: 1 = TRUE, any other value is = FALSE</v>
      </c>
    </row>
    <row r="27" spans="1:30" ht="25.5" x14ac:dyDescent="0.25">
      <c r="A27" s="44" t="s">
        <v>904</v>
      </c>
      <c r="B27" s="44" t="s">
        <v>601</v>
      </c>
      <c r="C27" s="73" t="s">
        <v>345</v>
      </c>
      <c r="D27" s="73" t="s">
        <v>594</v>
      </c>
      <c r="E27" s="73" t="s">
        <v>650</v>
      </c>
      <c r="F27" s="44" t="s">
        <v>399</v>
      </c>
      <c r="G27" s="73" t="s">
        <v>375</v>
      </c>
      <c r="H27" s="73" t="s">
        <v>106</v>
      </c>
      <c r="I27" s="73" t="s">
        <v>685</v>
      </c>
      <c r="J27" s="73" t="s">
        <v>550</v>
      </c>
      <c r="K27" s="87">
        <v>44278</v>
      </c>
      <c r="L27" s="50" t="s">
        <v>399</v>
      </c>
      <c r="M27" s="50"/>
      <c r="N27" s="45"/>
      <c r="O27" s="44"/>
      <c r="P27" s="44"/>
      <c r="Q27" s="44"/>
      <c r="R27" s="44"/>
      <c r="S27" s="73"/>
      <c r="T27" s="44"/>
      <c r="U27" s="43"/>
      <c r="V27" s="112" t="s">
        <v>399</v>
      </c>
      <c r="W27" s="62" t="s">
        <v>375</v>
      </c>
      <c r="X27" s="43" t="s">
        <v>106</v>
      </c>
      <c r="Y27" s="43"/>
      <c r="Z27" s="43"/>
      <c r="AA27" s="43" t="s">
        <v>375</v>
      </c>
      <c r="AB27" s="43"/>
      <c r="AC27" s="43"/>
      <c r="AD27" s="43" t="str">
        <f t="shared" si="0"/>
        <v>By manager approved leave request / absence request.
False if shift isn’t a leave</v>
      </c>
    </row>
    <row r="28" spans="1:30" ht="51" x14ac:dyDescent="0.25">
      <c r="A28" s="44" t="s">
        <v>904</v>
      </c>
      <c r="B28" s="44" t="s">
        <v>601</v>
      </c>
      <c r="C28" s="73" t="s">
        <v>345</v>
      </c>
      <c r="D28" s="73" t="s">
        <v>594</v>
      </c>
      <c r="E28" s="73" t="s">
        <v>650</v>
      </c>
      <c r="F28" s="44" t="s">
        <v>667</v>
      </c>
      <c r="G28" s="44" t="s">
        <v>332</v>
      </c>
      <c r="H28" s="73" t="s">
        <v>130</v>
      </c>
      <c r="I28" s="73" t="s">
        <v>666</v>
      </c>
      <c r="J28" s="73" t="s">
        <v>548</v>
      </c>
      <c r="K28" s="87">
        <v>44281</v>
      </c>
      <c r="L28" s="50" t="s">
        <v>667</v>
      </c>
      <c r="M28" s="50"/>
      <c r="N28" s="45"/>
      <c r="O28" s="44"/>
      <c r="P28" s="44"/>
      <c r="Q28" s="44"/>
      <c r="R28" s="44"/>
      <c r="S28" s="44"/>
      <c r="T28" s="44"/>
      <c r="U28" s="43"/>
      <c r="V28" s="112" t="s">
        <v>667</v>
      </c>
      <c r="W28" s="62" t="s">
        <v>332</v>
      </c>
      <c r="X28" s="43" t="s">
        <v>130</v>
      </c>
      <c r="Y28" s="43"/>
      <c r="Z28" s="43"/>
      <c r="AA28" s="43" t="s">
        <v>332</v>
      </c>
      <c r="AB28" s="43"/>
      <c r="AC28" s="43"/>
      <c r="AD28" s="43" t="str">
        <f t="shared" si="0"/>
        <v>Key is either schedulId or absenceScheduleId
BUSINESS RULE IN SWFMS:
IF absenceScheduleID "has a value" = TRUE</v>
      </c>
    </row>
    <row r="29" spans="1:30" ht="25.5" x14ac:dyDescent="0.25">
      <c r="A29" s="44" t="s">
        <v>904</v>
      </c>
      <c r="B29" s="44" t="s">
        <v>601</v>
      </c>
      <c r="C29" s="73" t="s">
        <v>345</v>
      </c>
      <c r="D29" s="73" t="s">
        <v>594</v>
      </c>
      <c r="E29" s="73" t="s">
        <v>650</v>
      </c>
      <c r="F29" s="44" t="s">
        <v>418</v>
      </c>
      <c r="G29" s="73" t="s">
        <v>388</v>
      </c>
      <c r="H29" s="73" t="s">
        <v>157</v>
      </c>
      <c r="I29" s="73" t="s">
        <v>684</v>
      </c>
      <c r="J29" s="73" t="s">
        <v>550</v>
      </c>
      <c r="K29" s="87">
        <v>44278</v>
      </c>
      <c r="L29" s="50" t="s">
        <v>418</v>
      </c>
      <c r="M29" s="50"/>
      <c r="N29" s="45"/>
      <c r="O29" s="44"/>
      <c r="P29" s="44"/>
      <c r="Q29" s="44"/>
      <c r="R29" s="44"/>
      <c r="S29" s="73"/>
      <c r="T29" s="44"/>
      <c r="U29" s="43"/>
      <c r="V29" s="112" t="s">
        <v>418</v>
      </c>
      <c r="W29" s="62" t="s">
        <v>1377</v>
      </c>
      <c r="X29" s="43" t="s">
        <v>157</v>
      </c>
      <c r="Y29" s="43"/>
      <c r="Z29" s="43"/>
      <c r="AA29" s="43" t="s">
        <v>388</v>
      </c>
      <c r="AB29" s="43"/>
      <c r="AC29" s="43"/>
      <c r="AD29" s="43" t="str">
        <f t="shared" si="0"/>
        <v>Day number of absence. Nuber of days within an absence period (example: 1 = one day, 5=five days)</v>
      </c>
    </row>
    <row r="30" spans="1:30" ht="25.5" x14ac:dyDescent="0.25">
      <c r="A30" s="44" t="s">
        <v>904</v>
      </c>
      <c r="B30" s="44" t="s">
        <v>601</v>
      </c>
      <c r="C30" s="73" t="s">
        <v>345</v>
      </c>
      <c r="D30" s="73" t="s">
        <v>594</v>
      </c>
      <c r="E30" s="73" t="s">
        <v>650</v>
      </c>
      <c r="F30" s="44" t="s">
        <v>205</v>
      </c>
      <c r="G30" s="73" t="s">
        <v>332</v>
      </c>
      <c r="H30" s="73" t="s">
        <v>157</v>
      </c>
      <c r="I30" s="73" t="s">
        <v>683</v>
      </c>
      <c r="J30" s="73" t="s">
        <v>550</v>
      </c>
      <c r="K30" s="87">
        <v>44278</v>
      </c>
      <c r="L30" s="50" t="s">
        <v>205</v>
      </c>
      <c r="M30" s="50"/>
      <c r="N30" s="45" t="s">
        <v>36</v>
      </c>
      <c r="O30" s="44"/>
      <c r="P30" s="44"/>
      <c r="Q30" s="44"/>
      <c r="R30" s="44"/>
      <c r="S30" s="73"/>
      <c r="T30" s="44"/>
      <c r="U30" s="43"/>
      <c r="V30" s="112" t="s">
        <v>205</v>
      </c>
      <c r="W30" s="62" t="s">
        <v>332</v>
      </c>
      <c r="X30" s="43" t="s">
        <v>157</v>
      </c>
      <c r="Y30" s="43"/>
      <c r="Z30" s="43"/>
      <c r="AA30" s="43" t="s">
        <v>332</v>
      </c>
      <c r="AB30" s="43"/>
      <c r="AC30" s="43"/>
      <c r="AD30" s="43" t="str">
        <f t="shared" si="0"/>
        <v>Frånvaroorsak id (indirekt Qx ID)
Leave Reason Id</v>
      </c>
    </row>
    <row r="31" spans="1:30" ht="51" x14ac:dyDescent="0.25">
      <c r="A31" s="44" t="s">
        <v>904</v>
      </c>
      <c r="B31" s="44" t="s">
        <v>601</v>
      </c>
      <c r="C31" s="73" t="s">
        <v>345</v>
      </c>
      <c r="D31" s="73" t="s">
        <v>594</v>
      </c>
      <c r="E31" s="73" t="s">
        <v>650</v>
      </c>
      <c r="F31" s="73" t="s">
        <v>570</v>
      </c>
      <c r="G31" s="73" t="s">
        <v>332</v>
      </c>
      <c r="H31" s="73" t="s">
        <v>157</v>
      </c>
      <c r="I31" s="73" t="s">
        <v>681</v>
      </c>
      <c r="J31" s="73" t="s">
        <v>548</v>
      </c>
      <c r="K31" s="87">
        <v>44278</v>
      </c>
      <c r="L31" s="44" t="s">
        <v>570</v>
      </c>
      <c r="M31" s="44" t="s">
        <v>570</v>
      </c>
      <c r="N31" s="73" t="s">
        <v>36</v>
      </c>
      <c r="O31" s="44" t="s">
        <v>1206</v>
      </c>
      <c r="P31" s="44" t="s">
        <v>1210</v>
      </c>
      <c r="Q31" s="44" t="s">
        <v>570</v>
      </c>
      <c r="R31" s="44"/>
      <c r="S31" s="73"/>
      <c r="T31" s="44"/>
      <c r="U31" s="43"/>
      <c r="V31" s="112" t="s">
        <v>570</v>
      </c>
      <c r="W31" s="62" t="s">
        <v>332</v>
      </c>
      <c r="X31" s="43" t="s">
        <v>157</v>
      </c>
      <c r="Y31" s="43"/>
      <c r="Z31" s="43"/>
      <c r="AA31" s="43" t="s">
        <v>332</v>
      </c>
      <c r="AB31" s="43"/>
      <c r="AC31" s="43"/>
      <c r="AD31" s="43" t="str">
        <f t="shared" si="0"/>
        <v>Original shift id
In an absence shift this refers to the scheduled shift it origins from. On scheduled shifts and absence shifts that does not origin from a scheduled shift orgScheduleId = 0.</v>
      </c>
    </row>
    <row r="32" spans="1:30" ht="25.5" x14ac:dyDescent="0.25">
      <c r="A32" s="44" t="s">
        <v>904</v>
      </c>
      <c r="B32" s="44" t="s">
        <v>601</v>
      </c>
      <c r="C32" s="73" t="s">
        <v>345</v>
      </c>
      <c r="D32" s="73" t="s">
        <v>594</v>
      </c>
      <c r="E32" s="73" t="s">
        <v>650</v>
      </c>
      <c r="F32" s="44" t="s">
        <v>566</v>
      </c>
      <c r="G32" s="73" t="s">
        <v>332</v>
      </c>
      <c r="H32" s="73" t="s">
        <v>157</v>
      </c>
      <c r="I32" s="73" t="s">
        <v>506</v>
      </c>
      <c r="J32" s="73" t="s">
        <v>555</v>
      </c>
      <c r="K32" s="87">
        <v>44278</v>
      </c>
      <c r="L32" s="44" t="s">
        <v>566</v>
      </c>
      <c r="M32" s="44" t="s">
        <v>566</v>
      </c>
      <c r="N32" s="73"/>
      <c r="O32" s="44"/>
      <c r="P32" s="44" t="s">
        <v>1210</v>
      </c>
      <c r="Q32" s="44" t="s">
        <v>566</v>
      </c>
      <c r="R32" s="44"/>
      <c r="S32" s="73"/>
      <c r="T32" s="44"/>
      <c r="U32" s="43"/>
      <c r="V32" s="112" t="s">
        <v>566</v>
      </c>
      <c r="W32" s="62" t="s">
        <v>332</v>
      </c>
      <c r="X32" s="43" t="s">
        <v>157</v>
      </c>
      <c r="Y32" s="43"/>
      <c r="Z32" s="43"/>
      <c r="AA32" s="43" t="s">
        <v>963</v>
      </c>
      <c r="AB32" s="43"/>
      <c r="AC32" s="43"/>
      <c r="AD32" s="43" t="s">
        <v>1069</v>
      </c>
    </row>
    <row r="33" spans="1:30" ht="38.25" x14ac:dyDescent="0.25">
      <c r="A33" s="44" t="s">
        <v>904</v>
      </c>
      <c r="B33" s="44" t="s">
        <v>601</v>
      </c>
      <c r="C33" s="73" t="s">
        <v>345</v>
      </c>
      <c r="D33" s="73" t="s">
        <v>594</v>
      </c>
      <c r="E33" s="73" t="s">
        <v>650</v>
      </c>
      <c r="F33" s="73" t="s">
        <v>568</v>
      </c>
      <c r="G33" s="73" t="s">
        <v>332</v>
      </c>
      <c r="H33" s="73" t="s">
        <v>179</v>
      </c>
      <c r="I33" s="73" t="s">
        <v>682</v>
      </c>
      <c r="J33" s="73" t="s">
        <v>555</v>
      </c>
      <c r="K33" s="87">
        <v>44278</v>
      </c>
      <c r="L33" s="44" t="s">
        <v>568</v>
      </c>
      <c r="M33" s="44" t="s">
        <v>568</v>
      </c>
      <c r="N33" s="73" t="s">
        <v>36</v>
      </c>
      <c r="O33" s="44" t="s">
        <v>1206</v>
      </c>
      <c r="P33" s="44" t="s">
        <v>1210</v>
      </c>
      <c r="Q33" s="44" t="s">
        <v>568</v>
      </c>
      <c r="R33" s="44"/>
      <c r="S33" s="73"/>
      <c r="T33" s="44"/>
      <c r="U33" s="43"/>
      <c r="V33" s="112" t="s">
        <v>568</v>
      </c>
      <c r="W33" s="62" t="s">
        <v>332</v>
      </c>
      <c r="X33" s="43" t="s">
        <v>179</v>
      </c>
      <c r="Y33" s="43"/>
      <c r="Z33" s="43"/>
      <c r="AA33" s="43" t="s">
        <v>332</v>
      </c>
      <c r="AB33" s="43"/>
      <c r="AC33" s="43"/>
      <c r="AD33" s="43" t="s">
        <v>963</v>
      </c>
    </row>
    <row r="34" spans="1:30" x14ac:dyDescent="0.25">
      <c r="A34" s="44" t="s">
        <v>904</v>
      </c>
      <c r="B34" s="44" t="s">
        <v>601</v>
      </c>
      <c r="C34" s="73" t="s">
        <v>345</v>
      </c>
      <c r="D34" s="73" t="s">
        <v>594</v>
      </c>
      <c r="E34" s="73" t="s">
        <v>650</v>
      </c>
      <c r="F34" s="73" t="s">
        <v>575</v>
      </c>
      <c r="G34" s="73" t="s">
        <v>332</v>
      </c>
      <c r="H34" s="73" t="s">
        <v>239</v>
      </c>
      <c r="I34" s="73" t="s">
        <v>240</v>
      </c>
      <c r="J34" s="73" t="s">
        <v>555</v>
      </c>
      <c r="K34" s="87">
        <v>44278</v>
      </c>
      <c r="L34" s="44"/>
      <c r="M34" s="44"/>
      <c r="N34" s="73"/>
      <c r="O34" s="44"/>
      <c r="P34" s="44"/>
      <c r="Q34" s="44"/>
      <c r="R34" s="44"/>
      <c r="S34" s="73"/>
      <c r="T34" s="44"/>
      <c r="U34" s="43"/>
      <c r="V34" s="112" t="s">
        <v>575</v>
      </c>
      <c r="W34" s="62" t="s">
        <v>332</v>
      </c>
      <c r="X34" s="43" t="s">
        <v>239</v>
      </c>
      <c r="Y34" s="43"/>
      <c r="Z34" s="43"/>
      <c r="AA34" s="43" t="s">
        <v>963</v>
      </c>
      <c r="AB34" s="43"/>
      <c r="AC34" s="43"/>
      <c r="AD34" s="43" t="s">
        <v>1070</v>
      </c>
    </row>
    <row r="35" spans="1:30" x14ac:dyDescent="0.25">
      <c r="A35" s="44" t="s">
        <v>904</v>
      </c>
      <c r="B35" s="44" t="s">
        <v>601</v>
      </c>
      <c r="C35" s="73" t="s">
        <v>345</v>
      </c>
      <c r="D35" s="73" t="s">
        <v>594</v>
      </c>
      <c r="E35" s="73" t="s">
        <v>650</v>
      </c>
      <c r="F35" s="44" t="s">
        <v>567</v>
      </c>
      <c r="G35" s="73" t="s">
        <v>387</v>
      </c>
      <c r="H35" s="73" t="s">
        <v>179</v>
      </c>
      <c r="I35" s="73" t="s">
        <v>374</v>
      </c>
      <c r="J35" s="73" t="s">
        <v>555</v>
      </c>
      <c r="K35" s="87">
        <v>44278</v>
      </c>
      <c r="L35" s="44" t="s">
        <v>567</v>
      </c>
      <c r="M35" s="44" t="s">
        <v>567</v>
      </c>
      <c r="N35" s="73"/>
      <c r="O35" s="44" t="s">
        <v>1206</v>
      </c>
      <c r="P35" s="44" t="s">
        <v>1210</v>
      </c>
      <c r="Q35" s="44" t="s">
        <v>983</v>
      </c>
      <c r="R35" s="44"/>
      <c r="S35" s="73"/>
      <c r="T35" s="44"/>
      <c r="U35" s="43"/>
      <c r="V35" s="112" t="s">
        <v>567</v>
      </c>
      <c r="W35" s="62" t="s">
        <v>387</v>
      </c>
      <c r="X35" s="43" t="s">
        <v>179</v>
      </c>
      <c r="Y35" s="43"/>
      <c r="Z35" s="43"/>
      <c r="AA35" s="43" t="s">
        <v>387</v>
      </c>
      <c r="AB35" s="43"/>
      <c r="AC35" s="43"/>
      <c r="AD35" s="43" t="s">
        <v>963</v>
      </c>
    </row>
    <row r="36" spans="1:30" x14ac:dyDescent="0.25">
      <c r="A36" s="44" t="s">
        <v>904</v>
      </c>
      <c r="B36" s="44" t="s">
        <v>601</v>
      </c>
      <c r="C36" s="73" t="s">
        <v>345</v>
      </c>
      <c r="D36" s="73" t="s">
        <v>594</v>
      </c>
      <c r="E36" s="73" t="s">
        <v>650</v>
      </c>
      <c r="F36" s="44" t="s">
        <v>332</v>
      </c>
      <c r="G36" s="73" t="s">
        <v>332</v>
      </c>
      <c r="H36" s="73" t="s">
        <v>162</v>
      </c>
      <c r="I36" s="73" t="s">
        <v>771</v>
      </c>
      <c r="J36" s="73" t="s">
        <v>548</v>
      </c>
      <c r="K36" s="87">
        <v>44278</v>
      </c>
      <c r="L36" s="44"/>
      <c r="M36" s="44"/>
      <c r="N36" s="73"/>
      <c r="O36" s="44"/>
      <c r="P36" s="44"/>
      <c r="Q36" s="44"/>
      <c r="R36" s="44"/>
      <c r="S36" s="73"/>
      <c r="T36" s="44"/>
      <c r="U36" s="43"/>
      <c r="V36" s="112" t="s">
        <v>332</v>
      </c>
      <c r="W36" s="62" t="s">
        <v>332</v>
      </c>
      <c r="X36" s="43" t="s">
        <v>162</v>
      </c>
      <c r="Y36" s="43"/>
      <c r="Z36" s="43"/>
      <c r="AA36" s="43" t="s">
        <v>332</v>
      </c>
      <c r="AB36" s="43"/>
      <c r="AC36" s="43"/>
      <c r="AD36" s="43" t="s">
        <v>963</v>
      </c>
    </row>
    <row r="37" spans="1:30" x14ac:dyDescent="0.25">
      <c r="A37" s="44" t="s">
        <v>904</v>
      </c>
      <c r="B37" s="44" t="s">
        <v>601</v>
      </c>
      <c r="C37" s="73" t="s">
        <v>345</v>
      </c>
      <c r="D37" s="73" t="s">
        <v>594</v>
      </c>
      <c r="E37" s="73" t="s">
        <v>650</v>
      </c>
      <c r="F37" s="44" t="s">
        <v>773</v>
      </c>
      <c r="G37" s="73" t="s">
        <v>376</v>
      </c>
      <c r="H37" s="73" t="s">
        <v>56</v>
      </c>
      <c r="I37" s="73" t="s">
        <v>560</v>
      </c>
      <c r="J37" s="73" t="s">
        <v>548</v>
      </c>
      <c r="K37" s="87">
        <v>44278</v>
      </c>
      <c r="L37" s="44" t="s">
        <v>773</v>
      </c>
      <c r="M37" s="44" t="s">
        <v>773</v>
      </c>
      <c r="N37" s="73"/>
      <c r="O37" s="44" t="s">
        <v>1206</v>
      </c>
      <c r="P37" s="44" t="s">
        <v>1210</v>
      </c>
      <c r="Q37" s="44" t="s">
        <v>985</v>
      </c>
      <c r="R37" s="44"/>
      <c r="S37" s="73"/>
      <c r="T37" s="44"/>
      <c r="U37" s="43"/>
      <c r="V37" s="112" t="s">
        <v>773</v>
      </c>
      <c r="W37" s="62" t="s">
        <v>376</v>
      </c>
      <c r="X37" s="43" t="s">
        <v>56</v>
      </c>
      <c r="Y37" s="43"/>
      <c r="Z37" s="43"/>
      <c r="AA37" s="43" t="s">
        <v>376</v>
      </c>
      <c r="AB37" s="43"/>
      <c r="AC37" s="43"/>
      <c r="AD37" s="43" t="s">
        <v>963</v>
      </c>
    </row>
    <row r="38" spans="1:30" x14ac:dyDescent="0.25">
      <c r="A38" s="44" t="s">
        <v>904</v>
      </c>
      <c r="B38" s="44" t="s">
        <v>601</v>
      </c>
      <c r="C38" s="73" t="s">
        <v>345</v>
      </c>
      <c r="D38" s="73" t="s">
        <v>594</v>
      </c>
      <c r="E38" s="73" t="s">
        <v>650</v>
      </c>
      <c r="F38" s="44" t="s">
        <v>332</v>
      </c>
      <c r="G38" s="73" t="s">
        <v>332</v>
      </c>
      <c r="H38" s="73" t="s">
        <v>162</v>
      </c>
      <c r="I38" s="73" t="s">
        <v>772</v>
      </c>
      <c r="J38" s="73" t="s">
        <v>548</v>
      </c>
      <c r="K38" s="87">
        <v>44278</v>
      </c>
      <c r="L38" s="44"/>
      <c r="M38" s="44"/>
      <c r="N38" s="73"/>
      <c r="O38" s="44"/>
      <c r="P38" s="44"/>
      <c r="Q38" s="44"/>
      <c r="R38" s="44"/>
      <c r="S38" s="73"/>
      <c r="T38" s="44"/>
      <c r="U38" s="43"/>
      <c r="V38" s="112" t="s">
        <v>332</v>
      </c>
      <c r="W38" s="62" t="s">
        <v>332</v>
      </c>
      <c r="X38" s="43" t="s">
        <v>162</v>
      </c>
      <c r="Y38" s="43"/>
      <c r="Z38" s="43"/>
      <c r="AA38" s="43" t="s">
        <v>332</v>
      </c>
      <c r="AB38" s="43"/>
      <c r="AC38" s="43"/>
      <c r="AD38" s="43" t="s">
        <v>963</v>
      </c>
    </row>
    <row r="39" spans="1:30" x14ac:dyDescent="0.25">
      <c r="A39" s="44" t="s">
        <v>904</v>
      </c>
      <c r="B39" s="44" t="s">
        <v>601</v>
      </c>
      <c r="C39" s="73" t="s">
        <v>345</v>
      </c>
      <c r="D39" s="73" t="s">
        <v>594</v>
      </c>
      <c r="E39" s="73" t="s">
        <v>650</v>
      </c>
      <c r="F39" s="44" t="s">
        <v>774</v>
      </c>
      <c r="G39" s="73" t="s">
        <v>409</v>
      </c>
      <c r="H39" s="73" t="s">
        <v>56</v>
      </c>
      <c r="I39" s="73" t="s">
        <v>561</v>
      </c>
      <c r="J39" s="73" t="s">
        <v>548</v>
      </c>
      <c r="K39" s="87">
        <v>44278</v>
      </c>
      <c r="L39" s="44" t="s">
        <v>774</v>
      </c>
      <c r="M39" s="44" t="s">
        <v>774</v>
      </c>
      <c r="N39" s="73"/>
      <c r="O39" s="44" t="s">
        <v>1206</v>
      </c>
      <c r="P39" s="44" t="s">
        <v>1210</v>
      </c>
      <c r="Q39" s="44" t="s">
        <v>984</v>
      </c>
      <c r="R39" s="44"/>
      <c r="S39" s="73"/>
      <c r="T39" s="44"/>
      <c r="U39" s="43"/>
      <c r="V39" s="112" t="s">
        <v>774</v>
      </c>
      <c r="W39" s="62" t="s">
        <v>409</v>
      </c>
      <c r="X39" s="43" t="s">
        <v>56</v>
      </c>
      <c r="Y39" s="43"/>
      <c r="Z39" s="43"/>
      <c r="AA39" s="43" t="s">
        <v>409</v>
      </c>
      <c r="AB39" s="43"/>
      <c r="AC39" s="43"/>
      <c r="AD39" s="43" t="s">
        <v>963</v>
      </c>
    </row>
    <row r="40" spans="1:30" ht="38.25" x14ac:dyDescent="0.25">
      <c r="A40" s="44" t="s">
        <v>904</v>
      </c>
      <c r="B40" s="44" t="s">
        <v>601</v>
      </c>
      <c r="C40" s="73" t="s">
        <v>345</v>
      </c>
      <c r="D40" s="73" t="s">
        <v>594</v>
      </c>
      <c r="E40" s="73" t="s">
        <v>650</v>
      </c>
      <c r="F40" s="73" t="s">
        <v>574</v>
      </c>
      <c r="G40" s="44" t="s">
        <v>332</v>
      </c>
      <c r="H40" s="44"/>
      <c r="I40" s="73" t="s">
        <v>743</v>
      </c>
      <c r="J40" s="73"/>
      <c r="K40" s="87">
        <v>44278</v>
      </c>
      <c r="L40" s="44" t="s">
        <v>946</v>
      </c>
      <c r="M40" s="44" t="s">
        <v>946</v>
      </c>
      <c r="N40" s="73" t="s">
        <v>36</v>
      </c>
      <c r="O40" s="44" t="s">
        <v>1206</v>
      </c>
      <c r="P40" s="44" t="s">
        <v>1212</v>
      </c>
      <c r="Q40" s="44" t="s">
        <v>574</v>
      </c>
      <c r="R40" s="44"/>
      <c r="S40" s="44"/>
      <c r="T40" s="44"/>
      <c r="U40" s="43"/>
      <c r="V40" s="112" t="s">
        <v>574</v>
      </c>
      <c r="W40" s="62" t="s">
        <v>332</v>
      </c>
      <c r="X40" s="43">
        <v>0</v>
      </c>
      <c r="Y40" s="43"/>
      <c r="Z40" s="43"/>
      <c r="AA40" s="43" t="s">
        <v>332</v>
      </c>
      <c r="AB40" s="43"/>
      <c r="AC40" s="43"/>
      <c r="AD40" s="43" t="s">
        <v>977</v>
      </c>
    </row>
    <row r="41" spans="1:30" ht="89.25" x14ac:dyDescent="0.25">
      <c r="A41" s="44" t="s">
        <v>904</v>
      </c>
      <c r="B41" s="44" t="s">
        <v>601</v>
      </c>
      <c r="C41" s="73" t="s">
        <v>345</v>
      </c>
      <c r="D41" s="73" t="s">
        <v>594</v>
      </c>
      <c r="E41" s="73" t="s">
        <v>650</v>
      </c>
      <c r="F41" s="44" t="s">
        <v>566</v>
      </c>
      <c r="G41" s="44" t="s">
        <v>332</v>
      </c>
      <c r="H41" s="44"/>
      <c r="I41" s="73" t="s">
        <v>770</v>
      </c>
      <c r="J41" s="88"/>
      <c r="K41" s="87">
        <v>44278</v>
      </c>
      <c r="L41" s="44" t="s">
        <v>947</v>
      </c>
      <c r="M41" s="44" t="s">
        <v>947</v>
      </c>
      <c r="N41" s="73" t="s">
        <v>36</v>
      </c>
      <c r="O41" s="44" t="s">
        <v>1206</v>
      </c>
      <c r="P41" s="44" t="s">
        <v>1212</v>
      </c>
      <c r="Q41" s="44" t="s">
        <v>947</v>
      </c>
      <c r="R41" s="44"/>
      <c r="S41" s="44"/>
      <c r="T41" s="44"/>
      <c r="U41" s="43"/>
      <c r="V41" s="112" t="s">
        <v>566</v>
      </c>
      <c r="W41" s="62" t="s">
        <v>332</v>
      </c>
      <c r="X41" s="43">
        <v>0</v>
      </c>
      <c r="Y41" s="43"/>
      <c r="Z41" s="43"/>
      <c r="AA41" s="43" t="s">
        <v>332</v>
      </c>
      <c r="AB41" s="43"/>
      <c r="AC41" s="43"/>
      <c r="AD41" s="43" t="s">
        <v>963</v>
      </c>
    </row>
    <row r="42" spans="1:30" ht="63.75" x14ac:dyDescent="0.25">
      <c r="A42" s="44" t="s">
        <v>904</v>
      </c>
      <c r="B42" s="44" t="s">
        <v>601</v>
      </c>
      <c r="C42" s="73" t="s">
        <v>345</v>
      </c>
      <c r="D42" s="73" t="s">
        <v>594</v>
      </c>
      <c r="E42" s="73" t="s">
        <v>650</v>
      </c>
      <c r="F42" s="44" t="s">
        <v>886</v>
      </c>
      <c r="G42" s="44" t="s">
        <v>729</v>
      </c>
      <c r="H42" s="73" t="s">
        <v>256</v>
      </c>
      <c r="I42" s="73" t="s">
        <v>1067</v>
      </c>
      <c r="J42" s="73"/>
      <c r="K42" s="87">
        <v>44278</v>
      </c>
      <c r="L42" s="44" t="s">
        <v>948</v>
      </c>
      <c r="M42" s="44" t="s">
        <v>948</v>
      </c>
      <c r="N42" s="73"/>
      <c r="O42" s="44" t="s">
        <v>1206</v>
      </c>
      <c r="P42" s="44" t="s">
        <v>1212</v>
      </c>
      <c r="Q42" s="44" t="s">
        <v>948</v>
      </c>
      <c r="R42" s="44"/>
      <c r="S42" s="44"/>
      <c r="T42" s="44"/>
      <c r="U42" s="43"/>
      <c r="V42" s="112" t="s">
        <v>886</v>
      </c>
      <c r="W42" s="62" t="s">
        <v>729</v>
      </c>
      <c r="X42" s="43" t="s">
        <v>256</v>
      </c>
      <c r="Y42" s="43"/>
      <c r="Z42" s="43"/>
      <c r="AA42" s="43" t="s">
        <v>729</v>
      </c>
      <c r="AB42" s="43"/>
      <c r="AC42" s="43"/>
      <c r="AD42" s="43" t="s">
        <v>963</v>
      </c>
    </row>
    <row r="43" spans="1:30" ht="63.75" x14ac:dyDescent="0.25">
      <c r="A43" s="44" t="s">
        <v>904</v>
      </c>
      <c r="B43" s="44" t="s">
        <v>601</v>
      </c>
      <c r="C43" s="73" t="s">
        <v>345</v>
      </c>
      <c r="D43" s="73" t="s">
        <v>594</v>
      </c>
      <c r="E43" s="73" t="s">
        <v>650</v>
      </c>
      <c r="F43" s="44" t="s">
        <v>887</v>
      </c>
      <c r="G43" s="44" t="s">
        <v>730</v>
      </c>
      <c r="H43" s="73" t="s">
        <v>256</v>
      </c>
      <c r="I43" s="73" t="s">
        <v>1068</v>
      </c>
      <c r="J43" s="73"/>
      <c r="K43" s="87">
        <v>44278</v>
      </c>
      <c r="L43" s="44" t="s">
        <v>949</v>
      </c>
      <c r="M43" s="44" t="s">
        <v>949</v>
      </c>
      <c r="N43" s="73"/>
      <c r="O43" s="44" t="s">
        <v>1206</v>
      </c>
      <c r="P43" s="44" t="s">
        <v>1212</v>
      </c>
      <c r="Q43" s="44" t="s">
        <v>949</v>
      </c>
      <c r="R43" s="44"/>
      <c r="S43" s="44"/>
      <c r="T43" s="44"/>
      <c r="U43" s="43"/>
      <c r="V43" s="112" t="s">
        <v>887</v>
      </c>
      <c r="W43" s="62" t="s">
        <v>730</v>
      </c>
      <c r="X43" s="43" t="s">
        <v>256</v>
      </c>
      <c r="Y43" s="43"/>
      <c r="Z43" s="43"/>
      <c r="AA43" s="43" t="s">
        <v>888</v>
      </c>
      <c r="AB43" s="43"/>
      <c r="AC43" s="43"/>
      <c r="AD43" s="43" t="s">
        <v>963</v>
      </c>
    </row>
  </sheetData>
  <autoFilter ref="A3:AD3" xr:uid="{CD5DF27E-B0BE-4E94-9EE7-E1FB85F2105D}"/>
  <mergeCells count="2">
    <mergeCell ref="L2:N2"/>
    <mergeCell ref="O2:R2"/>
  </mergeCells>
  <pageMargins left="0.7" right="0.7" top="0.75" bottom="0.75" header="0.3" footer="0.3"/>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E4512-D2EC-45B1-AC27-BB177382CE17}">
  <sheetPr>
    <tabColor rgb="FF92D050"/>
  </sheetPr>
  <dimension ref="A1:U29"/>
  <sheetViews>
    <sheetView zoomScale="130" zoomScaleNormal="130" workbookViewId="0">
      <pane ySplit="2" topLeftCell="A3" activePane="bottomLeft" state="frozen"/>
      <selection activeCell="K30" sqref="K30:K32"/>
      <selection pane="bottomLeft" activeCell="C3" sqref="C3"/>
    </sheetView>
  </sheetViews>
  <sheetFormatPr defaultColWidth="13.5703125" defaultRowHeight="15" x14ac:dyDescent="0.25"/>
  <cols>
    <col min="3" max="3" width="23" customWidth="1"/>
    <col min="4" max="4" width="21.5703125" customWidth="1"/>
    <col min="5" max="5" width="24.5703125" customWidth="1"/>
    <col min="6" max="6" width="26.42578125" customWidth="1"/>
    <col min="7" max="7" width="26.5703125" customWidth="1"/>
    <col min="13" max="13" width="23.5703125" customWidth="1"/>
    <col min="16" max="16" width="20.42578125" customWidth="1"/>
    <col min="17" max="17" width="27.42578125" customWidth="1"/>
    <col min="18" max="18" width="28.5703125" customWidth="1"/>
    <col min="19" max="19" width="27.42578125" customWidth="1"/>
    <col min="20" max="20" width="26" customWidth="1"/>
    <col min="21" max="21" width="60.5703125" bestFit="1" customWidth="1"/>
  </cols>
  <sheetData>
    <row r="1" spans="1:21" ht="39" customHeight="1" x14ac:dyDescent="0.25">
      <c r="Q1" s="72" t="s">
        <v>1398</v>
      </c>
      <c r="R1" s="72" t="s">
        <v>1398</v>
      </c>
      <c r="S1" s="72" t="s">
        <v>1398</v>
      </c>
      <c r="T1" s="72" t="s">
        <v>1191</v>
      </c>
    </row>
    <row r="2" spans="1:21" x14ac:dyDescent="0.25">
      <c r="A2" s="74" t="s">
        <v>903</v>
      </c>
      <c r="B2" s="74" t="s">
        <v>944</v>
      </c>
      <c r="C2" s="74" t="s">
        <v>943</v>
      </c>
      <c r="D2" s="75" t="s">
        <v>593</v>
      </c>
      <c r="E2" s="75" t="s">
        <v>625</v>
      </c>
      <c r="F2" s="75" t="s">
        <v>942</v>
      </c>
      <c r="G2" s="75" t="s">
        <v>941</v>
      </c>
      <c r="H2" s="75" t="s">
        <v>597</v>
      </c>
      <c r="I2" s="75" t="s">
        <v>596</v>
      </c>
      <c r="J2" s="75" t="s">
        <v>591</v>
      </c>
      <c r="K2" s="76" t="s">
        <v>939</v>
      </c>
      <c r="L2" s="77" t="s">
        <v>1061</v>
      </c>
      <c r="M2" s="77" t="s">
        <v>1062</v>
      </c>
      <c r="N2" s="77" t="s">
        <v>1063</v>
      </c>
      <c r="O2" s="77" t="s">
        <v>940</v>
      </c>
      <c r="P2" s="77" t="s">
        <v>1071</v>
      </c>
      <c r="Q2" s="77" t="s">
        <v>1072</v>
      </c>
      <c r="R2" s="77" t="s">
        <v>1074</v>
      </c>
      <c r="S2" s="77" t="s">
        <v>1073</v>
      </c>
      <c r="T2" s="75" t="s">
        <v>941</v>
      </c>
      <c r="U2" s="78" t="s">
        <v>958</v>
      </c>
    </row>
    <row r="3" spans="1:21" x14ac:dyDescent="0.25">
      <c r="A3" s="44" t="s">
        <v>904</v>
      </c>
      <c r="B3" s="44" t="s">
        <v>601</v>
      </c>
      <c r="C3" s="44" t="s">
        <v>37</v>
      </c>
      <c r="D3" s="44" t="s">
        <v>594</v>
      </c>
      <c r="E3" s="44" t="s">
        <v>37</v>
      </c>
      <c r="F3" s="44" t="s">
        <v>559</v>
      </c>
      <c r="G3" s="44" t="s">
        <v>377</v>
      </c>
      <c r="H3" s="44" t="s">
        <v>45</v>
      </c>
      <c r="I3" s="44" t="s">
        <v>577</v>
      </c>
      <c r="J3" s="44" t="s">
        <v>547</v>
      </c>
      <c r="K3" s="42">
        <v>44273</v>
      </c>
      <c r="L3" s="44" t="s">
        <v>559</v>
      </c>
      <c r="M3" s="44" t="s">
        <v>559</v>
      </c>
      <c r="N3" s="44"/>
      <c r="O3" s="44" t="s">
        <v>1038</v>
      </c>
      <c r="P3" s="44" t="s">
        <v>1039</v>
      </c>
      <c r="Q3" s="122" t="s">
        <v>982</v>
      </c>
      <c r="R3" s="122" t="s">
        <v>982</v>
      </c>
      <c r="S3" s="122" t="s">
        <v>377</v>
      </c>
      <c r="T3" s="62" t="s">
        <v>377</v>
      </c>
      <c r="U3" s="44" t="s">
        <v>1041</v>
      </c>
    </row>
    <row r="4" spans="1:21" x14ac:dyDescent="0.25">
      <c r="A4" s="44" t="s">
        <v>904</v>
      </c>
      <c r="B4" s="44" t="s">
        <v>601</v>
      </c>
      <c r="C4" s="44" t="s">
        <v>37</v>
      </c>
      <c r="D4" s="44" t="s">
        <v>594</v>
      </c>
      <c r="E4" s="44" t="s">
        <v>37</v>
      </c>
      <c r="F4" s="44" t="s">
        <v>562</v>
      </c>
      <c r="G4" s="44" t="s">
        <v>378</v>
      </c>
      <c r="H4" s="44" t="s">
        <v>130</v>
      </c>
      <c r="I4" s="44" t="s">
        <v>133</v>
      </c>
      <c r="J4" s="44" t="s">
        <v>553</v>
      </c>
      <c r="K4" s="42">
        <v>44273</v>
      </c>
      <c r="L4" s="44" t="s">
        <v>562</v>
      </c>
      <c r="M4" s="44" t="s">
        <v>562</v>
      </c>
      <c r="N4" s="44"/>
      <c r="O4" s="44" t="s">
        <v>1038</v>
      </c>
      <c r="P4" s="44" t="s">
        <v>1039</v>
      </c>
      <c r="Q4" s="122" t="s">
        <v>562</v>
      </c>
      <c r="R4" s="122" t="s">
        <v>562</v>
      </c>
      <c r="S4" s="122" t="s">
        <v>378</v>
      </c>
      <c r="T4" s="62" t="s">
        <v>378</v>
      </c>
      <c r="U4" s="44"/>
    </row>
    <row r="5" spans="1:21" x14ac:dyDescent="0.25">
      <c r="A5" s="44" t="s">
        <v>904</v>
      </c>
      <c r="B5" s="44" t="s">
        <v>601</v>
      </c>
      <c r="C5" s="44" t="s">
        <v>37</v>
      </c>
      <c r="D5" s="44" t="s">
        <v>594</v>
      </c>
      <c r="E5" s="44" t="s">
        <v>37</v>
      </c>
      <c r="F5" s="44" t="s">
        <v>564</v>
      </c>
      <c r="G5" s="44" t="s">
        <v>565</v>
      </c>
      <c r="H5" s="44" t="s">
        <v>45</v>
      </c>
      <c r="I5" s="44" t="s">
        <v>578</v>
      </c>
      <c r="J5" s="44" t="s">
        <v>546</v>
      </c>
      <c r="K5" s="42">
        <v>44273</v>
      </c>
      <c r="L5" s="44" t="s">
        <v>564</v>
      </c>
      <c r="M5" s="44" t="s">
        <v>564</v>
      </c>
      <c r="N5" s="44" t="s">
        <v>36</v>
      </c>
      <c r="O5" s="44" t="s">
        <v>1038</v>
      </c>
      <c r="P5" s="44" t="s">
        <v>1039</v>
      </c>
      <c r="Q5" s="122" t="s">
        <v>564</v>
      </c>
      <c r="R5" s="122" t="s">
        <v>564</v>
      </c>
      <c r="S5" s="122" t="s">
        <v>565</v>
      </c>
      <c r="T5" s="62" t="s">
        <v>565</v>
      </c>
      <c r="U5" s="44"/>
    </row>
    <row r="6" spans="1:21" x14ac:dyDescent="0.25">
      <c r="A6" s="44" t="s">
        <v>904</v>
      </c>
      <c r="B6" s="44" t="s">
        <v>601</v>
      </c>
      <c r="C6" s="44" t="s">
        <v>37</v>
      </c>
      <c r="D6" s="44" t="s">
        <v>594</v>
      </c>
      <c r="E6" s="44" t="s">
        <v>37</v>
      </c>
      <c r="F6" s="44" t="s">
        <v>389</v>
      </c>
      <c r="G6" s="44" t="s">
        <v>332</v>
      </c>
      <c r="H6" s="44" t="s">
        <v>130</v>
      </c>
      <c r="I6" s="44" t="s">
        <v>579</v>
      </c>
      <c r="J6" s="44" t="s">
        <v>554</v>
      </c>
      <c r="K6" s="42">
        <v>44273</v>
      </c>
      <c r="L6" s="44" t="s">
        <v>389</v>
      </c>
      <c r="M6" s="44" t="s">
        <v>389</v>
      </c>
      <c r="N6" s="44"/>
      <c r="O6" s="44" t="s">
        <v>1038</v>
      </c>
      <c r="P6" s="44" t="s">
        <v>1039</v>
      </c>
      <c r="Q6" s="122" t="s">
        <v>1042</v>
      </c>
      <c r="R6" s="122" t="s">
        <v>1042</v>
      </c>
      <c r="S6" s="122" t="s">
        <v>332</v>
      </c>
      <c r="T6" s="62" t="s">
        <v>332</v>
      </c>
      <c r="U6" s="44" t="s">
        <v>1043</v>
      </c>
    </row>
    <row r="7" spans="1:21" x14ac:dyDescent="0.25">
      <c r="A7" s="44" t="s">
        <v>904</v>
      </c>
      <c r="B7" s="44" t="s">
        <v>601</v>
      </c>
      <c r="C7" s="44" t="s">
        <v>37</v>
      </c>
      <c r="D7" s="44" t="s">
        <v>594</v>
      </c>
      <c r="E7" s="44" t="s">
        <v>37</v>
      </c>
      <c r="F7" s="44" t="s">
        <v>568</v>
      </c>
      <c r="G7" s="44" t="s">
        <v>332</v>
      </c>
      <c r="H7" s="44" t="s">
        <v>45</v>
      </c>
      <c r="I7" s="44" t="s">
        <v>595</v>
      </c>
      <c r="J7" s="44" t="s">
        <v>555</v>
      </c>
      <c r="K7" s="42">
        <v>44273</v>
      </c>
      <c r="L7" s="44" t="s">
        <v>568</v>
      </c>
      <c r="M7" s="44" t="s">
        <v>568</v>
      </c>
      <c r="N7" s="44" t="s">
        <v>36</v>
      </c>
      <c r="O7" s="44" t="s">
        <v>1038</v>
      </c>
      <c r="P7" s="44" t="s">
        <v>1039</v>
      </c>
      <c r="Q7" s="122" t="s">
        <v>568</v>
      </c>
      <c r="R7" s="122" t="s">
        <v>568</v>
      </c>
      <c r="S7" s="122" t="s">
        <v>332</v>
      </c>
      <c r="T7" s="62" t="s">
        <v>332</v>
      </c>
      <c r="U7" s="44"/>
    </row>
    <row r="8" spans="1:21" x14ac:dyDescent="0.25">
      <c r="A8" s="44" t="s">
        <v>904</v>
      </c>
      <c r="B8" s="44" t="s">
        <v>601</v>
      </c>
      <c r="C8" s="44" t="s">
        <v>37</v>
      </c>
      <c r="D8" s="44" t="s">
        <v>594</v>
      </c>
      <c r="E8" s="44" t="s">
        <v>37</v>
      </c>
      <c r="F8" s="44" t="s">
        <v>379</v>
      </c>
      <c r="G8" s="44" t="s">
        <v>381</v>
      </c>
      <c r="H8" s="44" t="s">
        <v>128</v>
      </c>
      <c r="I8" s="44" t="s">
        <v>129</v>
      </c>
      <c r="J8" s="44" t="s">
        <v>554</v>
      </c>
      <c r="K8" s="42">
        <v>44273</v>
      </c>
      <c r="L8" s="44" t="s">
        <v>379</v>
      </c>
      <c r="M8" s="44" t="s">
        <v>379</v>
      </c>
      <c r="N8" s="44"/>
      <c r="O8" s="44" t="s">
        <v>1038</v>
      </c>
      <c r="P8" s="44" t="s">
        <v>1039</v>
      </c>
      <c r="Q8" s="122" t="s">
        <v>1044</v>
      </c>
      <c r="R8" s="122" t="s">
        <v>379</v>
      </c>
      <c r="S8" s="122" t="s">
        <v>381</v>
      </c>
      <c r="T8" s="62" t="s">
        <v>1305</v>
      </c>
      <c r="U8" s="44"/>
    </row>
    <row r="9" spans="1:21" x14ac:dyDescent="0.25">
      <c r="A9" s="44" t="s">
        <v>904</v>
      </c>
      <c r="B9" s="44" t="s">
        <v>601</v>
      </c>
      <c r="C9" s="44" t="s">
        <v>37</v>
      </c>
      <c r="D9" s="44" t="s">
        <v>594</v>
      </c>
      <c r="E9" s="44" t="s">
        <v>37</v>
      </c>
      <c r="F9" s="44" t="s">
        <v>0</v>
      </c>
      <c r="G9" s="44" t="s">
        <v>332</v>
      </c>
      <c r="H9" s="44" t="s">
        <v>44</v>
      </c>
      <c r="I9" s="44" t="s">
        <v>580</v>
      </c>
      <c r="J9" s="44" t="s">
        <v>554</v>
      </c>
      <c r="K9" s="42">
        <v>44273</v>
      </c>
      <c r="L9" s="44" t="s">
        <v>0</v>
      </c>
      <c r="M9" s="44" t="s">
        <v>0</v>
      </c>
      <c r="N9" s="44" t="s">
        <v>36</v>
      </c>
      <c r="O9" s="44" t="s">
        <v>1038</v>
      </c>
      <c r="P9" s="44" t="s">
        <v>1039</v>
      </c>
      <c r="Q9" s="122" t="s">
        <v>1040</v>
      </c>
      <c r="R9" s="122" t="s">
        <v>332</v>
      </c>
      <c r="S9" s="122" t="s">
        <v>332</v>
      </c>
      <c r="T9" s="62" t="s">
        <v>332</v>
      </c>
      <c r="U9" s="44"/>
    </row>
    <row r="10" spans="1:21" x14ac:dyDescent="0.25">
      <c r="A10" s="44" t="s">
        <v>904</v>
      </c>
      <c r="B10" s="44" t="s">
        <v>601</v>
      </c>
      <c r="C10" s="44" t="s">
        <v>37</v>
      </c>
      <c r="D10" s="44" t="s">
        <v>594</v>
      </c>
      <c r="E10" s="44" t="s">
        <v>37</v>
      </c>
      <c r="F10" s="44" t="s">
        <v>26</v>
      </c>
      <c r="G10" s="44" t="s">
        <v>382</v>
      </c>
      <c r="H10" s="44" t="s">
        <v>130</v>
      </c>
      <c r="I10" s="44" t="s">
        <v>581</v>
      </c>
      <c r="J10" s="44" t="s">
        <v>554</v>
      </c>
      <c r="K10" s="42">
        <v>44273</v>
      </c>
      <c r="L10" s="44" t="s">
        <v>26</v>
      </c>
      <c r="M10" s="44" t="s">
        <v>26</v>
      </c>
      <c r="N10" s="44"/>
      <c r="O10" s="44" t="s">
        <v>1038</v>
      </c>
      <c r="P10" s="44" t="s">
        <v>1039</v>
      </c>
      <c r="Q10" s="122" t="s">
        <v>26</v>
      </c>
      <c r="R10" s="122" t="s">
        <v>1045</v>
      </c>
      <c r="S10" s="122" t="s">
        <v>382</v>
      </c>
      <c r="T10" s="62" t="s">
        <v>382</v>
      </c>
      <c r="U10" s="44"/>
    </row>
    <row r="11" spans="1:21" x14ac:dyDescent="0.25">
      <c r="A11" s="44" t="s">
        <v>904</v>
      </c>
      <c r="B11" s="44" t="s">
        <v>601</v>
      </c>
      <c r="C11" s="44" t="s">
        <v>37</v>
      </c>
      <c r="D11" s="44" t="s">
        <v>594</v>
      </c>
      <c r="E11" s="44" t="s">
        <v>37</v>
      </c>
      <c r="F11" s="44" t="s">
        <v>390</v>
      </c>
      <c r="G11" s="44" t="s">
        <v>383</v>
      </c>
      <c r="H11" s="44" t="s">
        <v>125</v>
      </c>
      <c r="I11" s="44" t="s">
        <v>155</v>
      </c>
      <c r="J11" s="44" t="s">
        <v>554</v>
      </c>
      <c r="K11" s="42">
        <v>44273</v>
      </c>
      <c r="L11" s="44" t="s">
        <v>390</v>
      </c>
      <c r="M11" s="44" t="s">
        <v>390</v>
      </c>
      <c r="N11" s="44"/>
      <c r="O11" s="44" t="s">
        <v>1038</v>
      </c>
      <c r="P11" s="44" t="s">
        <v>1039</v>
      </c>
      <c r="Q11" s="122" t="s">
        <v>1046</v>
      </c>
      <c r="R11" s="122"/>
      <c r="S11" s="122" t="s">
        <v>383</v>
      </c>
      <c r="T11" s="62" t="s">
        <v>1306</v>
      </c>
      <c r="U11" s="44"/>
    </row>
    <row r="12" spans="1:21" x14ac:dyDescent="0.25">
      <c r="A12" s="44" t="s">
        <v>904</v>
      </c>
      <c r="B12" s="44" t="s">
        <v>601</v>
      </c>
      <c r="C12" s="44" t="s">
        <v>37</v>
      </c>
      <c r="D12" s="44" t="s">
        <v>594</v>
      </c>
      <c r="E12" s="44" t="s">
        <v>37</v>
      </c>
      <c r="F12" s="44" t="s">
        <v>391</v>
      </c>
      <c r="G12" s="44" t="s">
        <v>385</v>
      </c>
      <c r="H12" s="44" t="s">
        <v>125</v>
      </c>
      <c r="I12" s="44" t="s">
        <v>156</v>
      </c>
      <c r="J12" s="44" t="s">
        <v>554</v>
      </c>
      <c r="K12" s="42">
        <v>44273</v>
      </c>
      <c r="L12" s="44" t="s">
        <v>391</v>
      </c>
      <c r="M12" s="44" t="s">
        <v>391</v>
      </c>
      <c r="N12" s="44"/>
      <c r="O12" s="44" t="s">
        <v>1038</v>
      </c>
      <c r="P12" s="44" t="s">
        <v>1039</v>
      </c>
      <c r="Q12" s="122" t="s">
        <v>1047</v>
      </c>
      <c r="R12" s="122"/>
      <c r="S12" s="122" t="s">
        <v>385</v>
      </c>
      <c r="T12" s="62" t="s">
        <v>1307</v>
      </c>
      <c r="U12" s="44"/>
    </row>
    <row r="13" spans="1:21" x14ac:dyDescent="0.25">
      <c r="A13" s="44" t="s">
        <v>904</v>
      </c>
      <c r="B13" s="44" t="s">
        <v>601</v>
      </c>
      <c r="C13" s="44" t="s">
        <v>37</v>
      </c>
      <c r="D13" s="44" t="s">
        <v>594</v>
      </c>
      <c r="E13" s="44" t="s">
        <v>37</v>
      </c>
      <c r="F13" s="44" t="s">
        <v>392</v>
      </c>
      <c r="G13" s="44" t="s">
        <v>384</v>
      </c>
      <c r="H13" s="44" t="s">
        <v>125</v>
      </c>
      <c r="I13" s="44" t="s">
        <v>582</v>
      </c>
      <c r="J13" s="44" t="s">
        <v>554</v>
      </c>
      <c r="K13" s="42">
        <v>44273</v>
      </c>
      <c r="L13" s="44" t="s">
        <v>392</v>
      </c>
      <c r="M13" s="44" t="s">
        <v>392</v>
      </c>
      <c r="N13" s="44"/>
      <c r="O13" s="44" t="s">
        <v>1038</v>
      </c>
      <c r="P13" s="44" t="s">
        <v>1039</v>
      </c>
      <c r="Q13" s="122" t="s">
        <v>1048</v>
      </c>
      <c r="R13" s="122" t="s">
        <v>978</v>
      </c>
      <c r="S13" s="122" t="s">
        <v>384</v>
      </c>
      <c r="T13" s="62" t="s">
        <v>1308</v>
      </c>
      <c r="U13" s="44"/>
    </row>
    <row r="14" spans="1:21" x14ac:dyDescent="0.25">
      <c r="A14" s="44" t="s">
        <v>904</v>
      </c>
      <c r="B14" s="44" t="s">
        <v>601</v>
      </c>
      <c r="C14" s="44" t="s">
        <v>37</v>
      </c>
      <c r="D14" s="44" t="s">
        <v>594</v>
      </c>
      <c r="E14" s="44" t="s">
        <v>37</v>
      </c>
      <c r="F14" s="44" t="s">
        <v>393</v>
      </c>
      <c r="G14" s="44" t="s">
        <v>386</v>
      </c>
      <c r="H14" s="44" t="s">
        <v>125</v>
      </c>
      <c r="I14" s="44" t="s">
        <v>582</v>
      </c>
      <c r="J14" s="44" t="s">
        <v>554</v>
      </c>
      <c r="K14" s="42">
        <v>44273</v>
      </c>
      <c r="L14" s="44" t="s">
        <v>393</v>
      </c>
      <c r="M14" s="44" t="s">
        <v>393</v>
      </c>
      <c r="N14" s="44"/>
      <c r="O14" s="44" t="s">
        <v>1038</v>
      </c>
      <c r="P14" s="44" t="s">
        <v>1039</v>
      </c>
      <c r="Q14" s="122" t="s">
        <v>1049</v>
      </c>
      <c r="R14" s="122" t="s">
        <v>979</v>
      </c>
      <c r="S14" s="122" t="s">
        <v>386</v>
      </c>
      <c r="T14" s="62" t="s">
        <v>1309</v>
      </c>
      <c r="U14" s="44"/>
    </row>
    <row r="15" spans="1:21" x14ac:dyDescent="0.25">
      <c r="A15" s="44" t="s">
        <v>904</v>
      </c>
      <c r="B15" s="44" t="s">
        <v>601</v>
      </c>
      <c r="C15" s="44" t="s">
        <v>37</v>
      </c>
      <c r="D15" s="44" t="s">
        <v>594</v>
      </c>
      <c r="E15" s="44" t="s">
        <v>37</v>
      </c>
      <c r="F15" s="44" t="s">
        <v>569</v>
      </c>
      <c r="G15" s="44" t="s">
        <v>332</v>
      </c>
      <c r="H15" s="44" t="s">
        <v>44</v>
      </c>
      <c r="I15" s="44" t="s">
        <v>583</v>
      </c>
      <c r="J15" s="44" t="s">
        <v>556</v>
      </c>
      <c r="K15" s="42">
        <v>44273</v>
      </c>
      <c r="L15" s="44" t="s">
        <v>569</v>
      </c>
      <c r="M15" s="44" t="s">
        <v>569</v>
      </c>
      <c r="N15" s="44" t="s">
        <v>36</v>
      </c>
      <c r="O15" s="44" t="s">
        <v>1038</v>
      </c>
      <c r="P15" s="44" t="s">
        <v>1039</v>
      </c>
      <c r="Q15" s="122" t="s">
        <v>955</v>
      </c>
      <c r="R15" s="122" t="s">
        <v>955</v>
      </c>
      <c r="S15" s="122" t="s">
        <v>332</v>
      </c>
      <c r="T15" s="62" t="s">
        <v>332</v>
      </c>
      <c r="U15" s="44" t="s">
        <v>1050</v>
      </c>
    </row>
    <row r="16" spans="1:21" x14ac:dyDescent="0.25">
      <c r="A16" s="44" t="s">
        <v>904</v>
      </c>
      <c r="B16" s="44" t="s">
        <v>601</v>
      </c>
      <c r="C16" s="44" t="s">
        <v>37</v>
      </c>
      <c r="D16" s="44" t="s">
        <v>594</v>
      </c>
      <c r="E16" s="44" t="s">
        <v>37</v>
      </c>
      <c r="F16" s="44" t="s">
        <v>572</v>
      </c>
      <c r="G16" s="44" t="s">
        <v>332</v>
      </c>
      <c r="H16" s="44" t="s">
        <v>44</v>
      </c>
      <c r="I16" s="44" t="s">
        <v>584</v>
      </c>
      <c r="J16" s="44" t="s">
        <v>554</v>
      </c>
      <c r="K16" s="42">
        <v>44273</v>
      </c>
      <c r="L16" s="44" t="s">
        <v>572</v>
      </c>
      <c r="M16" s="44" t="s">
        <v>572</v>
      </c>
      <c r="N16" s="44" t="s">
        <v>36</v>
      </c>
      <c r="O16" s="44" t="s">
        <v>1038</v>
      </c>
      <c r="P16" s="44" t="s">
        <v>1039</v>
      </c>
      <c r="Q16" s="122" t="s">
        <v>572</v>
      </c>
      <c r="R16" s="122"/>
      <c r="S16" s="122" t="s">
        <v>332</v>
      </c>
      <c r="T16" s="62" t="s">
        <v>332</v>
      </c>
      <c r="U16" s="44"/>
    </row>
    <row r="17" spans="1:21" x14ac:dyDescent="0.25">
      <c r="A17" s="44" t="s">
        <v>904</v>
      </c>
      <c r="B17" s="44" t="s">
        <v>601</v>
      </c>
      <c r="C17" s="44" t="s">
        <v>37</v>
      </c>
      <c r="D17" s="44" t="s">
        <v>594</v>
      </c>
      <c r="E17" s="44" t="s">
        <v>37</v>
      </c>
      <c r="F17" s="44" t="s">
        <v>566</v>
      </c>
      <c r="G17" s="44" t="s">
        <v>332</v>
      </c>
      <c r="H17" s="44" t="s">
        <v>44</v>
      </c>
      <c r="I17" s="44" t="s">
        <v>585</v>
      </c>
      <c r="J17" s="44" t="s">
        <v>555</v>
      </c>
      <c r="K17" s="42">
        <v>44273</v>
      </c>
      <c r="L17" s="44" t="s">
        <v>566</v>
      </c>
      <c r="M17" s="44" t="s">
        <v>566</v>
      </c>
      <c r="N17" s="44" t="s">
        <v>36</v>
      </c>
      <c r="O17" s="44" t="s">
        <v>1038</v>
      </c>
      <c r="P17" s="44" t="s">
        <v>1039</v>
      </c>
      <c r="Q17" s="122" t="s">
        <v>566</v>
      </c>
      <c r="R17" s="122" t="s">
        <v>332</v>
      </c>
      <c r="S17" s="122" t="s">
        <v>332</v>
      </c>
      <c r="T17" s="62" t="s">
        <v>332</v>
      </c>
      <c r="U17" s="44" t="s">
        <v>1051</v>
      </c>
    </row>
    <row r="18" spans="1:21" x14ac:dyDescent="0.25">
      <c r="A18" s="44" t="s">
        <v>904</v>
      </c>
      <c r="B18" s="44" t="s">
        <v>601</v>
      </c>
      <c r="C18" s="44" t="s">
        <v>37</v>
      </c>
      <c r="D18" s="44" t="s">
        <v>594</v>
      </c>
      <c r="E18" s="44" t="s">
        <v>37</v>
      </c>
      <c r="F18" s="44" t="s">
        <v>574</v>
      </c>
      <c r="G18" s="44" t="s">
        <v>332</v>
      </c>
      <c r="H18" s="44" t="s">
        <v>44</v>
      </c>
      <c r="I18" s="44" t="s">
        <v>587</v>
      </c>
      <c r="J18" s="44" t="s">
        <v>555</v>
      </c>
      <c r="K18" s="42">
        <v>44273</v>
      </c>
      <c r="L18" s="44" t="s">
        <v>574</v>
      </c>
      <c r="M18" s="44" t="s">
        <v>574</v>
      </c>
      <c r="N18" s="44" t="s">
        <v>36</v>
      </c>
      <c r="O18" s="44" t="s">
        <v>1038</v>
      </c>
      <c r="P18" s="44" t="s">
        <v>1039</v>
      </c>
      <c r="Q18" s="122" t="s">
        <v>574</v>
      </c>
      <c r="R18" s="122" t="s">
        <v>332</v>
      </c>
      <c r="S18" s="122" t="s">
        <v>332</v>
      </c>
      <c r="T18" s="62" t="s">
        <v>332</v>
      </c>
      <c r="U18" s="44"/>
    </row>
    <row r="19" spans="1:21" x14ac:dyDescent="0.25">
      <c r="A19" s="44" t="s">
        <v>904</v>
      </c>
      <c r="B19" s="44" t="s">
        <v>601</v>
      </c>
      <c r="C19" s="44" t="s">
        <v>37</v>
      </c>
      <c r="D19" s="44" t="s">
        <v>594</v>
      </c>
      <c r="E19" s="44" t="s">
        <v>37</v>
      </c>
      <c r="F19" s="44" t="s">
        <v>394</v>
      </c>
      <c r="G19" s="44" t="s">
        <v>332</v>
      </c>
      <c r="H19" s="44" t="s">
        <v>130</v>
      </c>
      <c r="I19" s="44" t="s">
        <v>588</v>
      </c>
      <c r="J19" s="44" t="s">
        <v>554</v>
      </c>
      <c r="K19" s="42">
        <v>44273</v>
      </c>
      <c r="L19" s="44" t="s">
        <v>394</v>
      </c>
      <c r="M19" s="44" t="s">
        <v>394</v>
      </c>
      <c r="N19" s="44"/>
      <c r="O19" s="44" t="s">
        <v>1038</v>
      </c>
      <c r="P19" s="44" t="s">
        <v>1039</v>
      </c>
      <c r="Q19" s="122" t="s">
        <v>394</v>
      </c>
      <c r="R19" s="122" t="s">
        <v>332</v>
      </c>
      <c r="S19" s="122" t="s">
        <v>332</v>
      </c>
      <c r="T19" s="62" t="s">
        <v>332</v>
      </c>
      <c r="U19" s="44"/>
    </row>
    <row r="20" spans="1:21" x14ac:dyDescent="0.25">
      <c r="A20" s="44" t="s">
        <v>904</v>
      </c>
      <c r="B20" s="44" t="s">
        <v>601</v>
      </c>
      <c r="C20" s="44" t="s">
        <v>37</v>
      </c>
      <c r="D20" s="44" t="s">
        <v>594</v>
      </c>
      <c r="E20" s="44" t="s">
        <v>37</v>
      </c>
      <c r="F20" s="44" t="s">
        <v>576</v>
      </c>
      <c r="G20" s="44" t="s">
        <v>332</v>
      </c>
      <c r="H20" s="44" t="s">
        <v>154</v>
      </c>
      <c r="I20" s="44" t="s">
        <v>372</v>
      </c>
      <c r="J20" s="44" t="s">
        <v>557</v>
      </c>
      <c r="K20" s="42">
        <v>44273</v>
      </c>
      <c r="L20" s="44" t="s">
        <v>576</v>
      </c>
      <c r="M20" s="44" t="s">
        <v>576</v>
      </c>
      <c r="N20" s="44"/>
      <c r="O20" s="44" t="s">
        <v>1038</v>
      </c>
      <c r="P20" s="44" t="s">
        <v>1039</v>
      </c>
      <c r="Q20" s="122" t="s">
        <v>1029</v>
      </c>
      <c r="R20" s="122" t="s">
        <v>332</v>
      </c>
      <c r="S20" s="122" t="s">
        <v>332</v>
      </c>
      <c r="T20" s="62" t="s">
        <v>332</v>
      </c>
      <c r="U20" s="44"/>
    </row>
    <row r="21" spans="1:21" x14ac:dyDescent="0.25">
      <c r="A21" s="44" t="s">
        <v>904</v>
      </c>
      <c r="B21" s="44" t="s">
        <v>601</v>
      </c>
      <c r="C21" s="44" t="s">
        <v>37</v>
      </c>
      <c r="D21" s="44" t="s">
        <v>594</v>
      </c>
      <c r="E21" s="44" t="s">
        <v>37</v>
      </c>
      <c r="F21" s="44" t="s">
        <v>567</v>
      </c>
      <c r="G21" s="44" t="s">
        <v>387</v>
      </c>
      <c r="H21" s="44" t="s">
        <v>45</v>
      </c>
      <c r="I21" s="44" t="s">
        <v>586</v>
      </c>
      <c r="J21" s="44" t="s">
        <v>555</v>
      </c>
      <c r="K21" s="42">
        <v>44273</v>
      </c>
      <c r="L21" s="50"/>
      <c r="M21" s="50"/>
      <c r="N21" s="50"/>
      <c r="O21" s="50"/>
      <c r="P21" s="50"/>
      <c r="Q21" s="122" t="s">
        <v>567</v>
      </c>
      <c r="R21" s="122" t="s">
        <v>567</v>
      </c>
      <c r="S21" s="122" t="s">
        <v>387</v>
      </c>
      <c r="T21" s="62" t="s">
        <v>387</v>
      </c>
      <c r="U21" s="118" t="s">
        <v>1392</v>
      </c>
    </row>
    <row r="22" spans="1:21" x14ac:dyDescent="0.25">
      <c r="O22" s="44" t="s">
        <v>1038</v>
      </c>
      <c r="P22" s="44" t="s">
        <v>1039</v>
      </c>
      <c r="Q22" s="122" t="s">
        <v>1185</v>
      </c>
      <c r="R22" s="122" t="s">
        <v>1185</v>
      </c>
      <c r="S22" s="122" t="s">
        <v>1185</v>
      </c>
      <c r="T22" s="62" t="s">
        <v>1310</v>
      </c>
      <c r="U22" s="7"/>
    </row>
    <row r="23" spans="1:21" x14ac:dyDescent="0.25">
      <c r="O23" s="44" t="s">
        <v>1038</v>
      </c>
      <c r="P23" s="44" t="s">
        <v>1039</v>
      </c>
      <c r="Q23" s="122" t="s">
        <v>1184</v>
      </c>
      <c r="R23" s="122" t="s">
        <v>1184</v>
      </c>
      <c r="S23" s="122" t="s">
        <v>1400</v>
      </c>
      <c r="T23" s="62" t="s">
        <v>1400</v>
      </c>
      <c r="U23" s="7"/>
    </row>
    <row r="24" spans="1:21" x14ac:dyDescent="0.25">
      <c r="O24" s="44" t="s">
        <v>1038</v>
      </c>
      <c r="P24" s="44" t="s">
        <v>1039</v>
      </c>
      <c r="Q24" s="44" t="s">
        <v>1186</v>
      </c>
      <c r="R24" s="7"/>
      <c r="S24" s="123" t="s">
        <v>610</v>
      </c>
      <c r="T24" s="62" t="s">
        <v>610</v>
      </c>
      <c r="U24" s="7"/>
    </row>
    <row r="25" spans="1:21" x14ac:dyDescent="0.25">
      <c r="O25" s="44" t="s">
        <v>1038</v>
      </c>
      <c r="P25" s="44" t="s">
        <v>1039</v>
      </c>
      <c r="Q25" s="44" t="s">
        <v>1187</v>
      </c>
      <c r="R25" s="7"/>
      <c r="S25" s="123" t="s">
        <v>1188</v>
      </c>
      <c r="T25" s="93" t="s">
        <v>525</v>
      </c>
      <c r="U25" s="7"/>
    </row>
    <row r="26" spans="1:21" x14ac:dyDescent="0.25">
      <c r="O26" s="44" t="s">
        <v>1038</v>
      </c>
      <c r="P26" s="44" t="s">
        <v>1039</v>
      </c>
      <c r="Q26" s="44" t="s">
        <v>607</v>
      </c>
      <c r="R26" s="7"/>
      <c r="S26" s="123" t="s">
        <v>1189</v>
      </c>
      <c r="T26" s="93" t="s">
        <v>1314</v>
      </c>
      <c r="U26" s="7"/>
    </row>
    <row r="27" spans="1:21" x14ac:dyDescent="0.25">
      <c r="O27" s="44" t="s">
        <v>1038</v>
      </c>
      <c r="P27" s="44" t="s">
        <v>1039</v>
      </c>
      <c r="Q27" s="44" t="s">
        <v>1190</v>
      </c>
      <c r="R27" s="7"/>
      <c r="S27" s="123" t="s">
        <v>1312</v>
      </c>
      <c r="T27" s="93" t="s">
        <v>1312</v>
      </c>
      <c r="U27" s="7"/>
    </row>
    <row r="28" spans="1:21" x14ac:dyDescent="0.25">
      <c r="Q28" s="7"/>
      <c r="R28" s="7"/>
      <c r="S28" s="93" t="s">
        <v>332</v>
      </c>
      <c r="T28" s="93" t="s">
        <v>1313</v>
      </c>
      <c r="U28" s="93" t="s">
        <v>1402</v>
      </c>
    </row>
    <row r="29" spans="1:21" x14ac:dyDescent="0.25">
      <c r="S29" s="124" t="s">
        <v>1287</v>
      </c>
      <c r="T29" s="94" t="s">
        <v>1315</v>
      </c>
    </row>
  </sheetData>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2535B-523C-4B61-823C-191783547D69}">
  <sheetPr>
    <tabColor theme="9"/>
  </sheetPr>
  <dimension ref="A1:V95"/>
  <sheetViews>
    <sheetView topLeftCell="F1" zoomScale="85" zoomScaleNormal="85" workbookViewId="0">
      <pane ySplit="2" topLeftCell="A3" activePane="bottomLeft" state="frozen"/>
      <selection activeCell="K30" sqref="K30:K32"/>
      <selection pane="bottomLeft" activeCell="H12" sqref="H12"/>
    </sheetView>
  </sheetViews>
  <sheetFormatPr defaultRowHeight="15" x14ac:dyDescent="0.25"/>
  <cols>
    <col min="1" max="1" width="32.42578125" customWidth="1"/>
    <col min="2" max="2" width="30" customWidth="1"/>
    <col min="3" max="3" width="37.42578125" customWidth="1"/>
    <col min="4" max="4" width="35.5703125" customWidth="1"/>
    <col min="5" max="5" width="37.42578125" customWidth="1"/>
    <col min="6" max="6" width="50.5703125" customWidth="1"/>
    <col min="7" max="7" width="52.42578125" bestFit="1" customWidth="1"/>
    <col min="8" max="8" width="76.5703125" style="72" customWidth="1"/>
    <col min="9" max="9" width="15.42578125" customWidth="1"/>
    <col min="10" max="10" width="16.42578125" customWidth="1"/>
    <col min="11" max="11" width="9.5703125" style="114" bestFit="1" customWidth="1"/>
    <col min="12" max="12" width="13.42578125" customWidth="1"/>
    <col min="17" max="17" width="23" bestFit="1" customWidth="1"/>
    <col min="18" max="18" width="36.42578125" customWidth="1"/>
    <col min="19" max="19" width="11" customWidth="1"/>
    <col min="20" max="21" width="58" customWidth="1"/>
    <col min="22" max="22" width="23.42578125" customWidth="1"/>
  </cols>
  <sheetData>
    <row r="1" spans="1:22" ht="57" customHeight="1" x14ac:dyDescent="0.25"/>
    <row r="2" spans="1:22" ht="34.5" customHeight="1" x14ac:dyDescent="0.25">
      <c r="A2" s="64" t="s">
        <v>1089</v>
      </c>
      <c r="B2" s="64" t="s">
        <v>1091</v>
      </c>
      <c r="C2" s="64" t="s">
        <v>1141</v>
      </c>
      <c r="D2" s="63" t="s">
        <v>1127</v>
      </c>
      <c r="E2" s="63" t="s">
        <v>1128</v>
      </c>
      <c r="F2" s="63" t="s">
        <v>1073</v>
      </c>
      <c r="G2" s="39" t="s">
        <v>941</v>
      </c>
      <c r="H2" s="63" t="s">
        <v>958</v>
      </c>
      <c r="J2" s="111" t="s">
        <v>1353</v>
      </c>
      <c r="K2" s="116" t="s">
        <v>1362</v>
      </c>
      <c r="L2" t="s">
        <v>1363</v>
      </c>
      <c r="M2" t="s">
        <v>27</v>
      </c>
      <c r="Q2" s="68" t="s">
        <v>1141</v>
      </c>
      <c r="R2" s="69" t="s">
        <v>1155</v>
      </c>
      <c r="S2" s="69" t="s">
        <v>1167</v>
      </c>
      <c r="T2" s="69" t="s">
        <v>1161</v>
      </c>
      <c r="U2" s="69" t="s">
        <v>744</v>
      </c>
      <c r="V2" s="69" t="s">
        <v>1169</v>
      </c>
    </row>
    <row r="3" spans="1:22" ht="35.25" customHeight="1" x14ac:dyDescent="0.25">
      <c r="A3" s="7" t="s">
        <v>1090</v>
      </c>
      <c r="B3" s="7" t="s">
        <v>1092</v>
      </c>
      <c r="C3" s="102" t="s">
        <v>1142</v>
      </c>
      <c r="D3" s="7" t="s">
        <v>1130</v>
      </c>
      <c r="E3" s="7"/>
      <c r="F3" s="59" t="s">
        <v>1183</v>
      </c>
      <c r="G3" s="58" t="s">
        <v>1252</v>
      </c>
      <c r="H3" s="90" t="s">
        <v>1253</v>
      </c>
      <c r="Q3" s="7" t="s">
        <v>1142</v>
      </c>
      <c r="R3" s="67" t="s">
        <v>1152</v>
      </c>
      <c r="S3" s="67" t="s">
        <v>1168</v>
      </c>
      <c r="T3" s="7" t="s">
        <v>1162</v>
      </c>
      <c r="U3" s="70" t="s">
        <v>1170</v>
      </c>
      <c r="V3" s="66" t="s">
        <v>608</v>
      </c>
    </row>
    <row r="4" spans="1:22" ht="30" x14ac:dyDescent="0.25">
      <c r="A4" s="7" t="s">
        <v>1090</v>
      </c>
      <c r="B4" s="7" t="s">
        <v>1092</v>
      </c>
      <c r="C4" s="7" t="s">
        <v>1143</v>
      </c>
      <c r="D4" s="7" t="s">
        <v>1131</v>
      </c>
      <c r="E4" s="7"/>
      <c r="F4" s="59" t="s">
        <v>1079</v>
      </c>
      <c r="G4" s="58" t="s">
        <v>1084</v>
      </c>
      <c r="H4" s="90"/>
      <c r="I4" s="119"/>
      <c r="K4"/>
      <c r="Q4" s="7" t="s">
        <v>1144</v>
      </c>
      <c r="R4" s="67" t="s">
        <v>248</v>
      </c>
      <c r="S4" s="67" t="s">
        <v>1168</v>
      </c>
      <c r="T4" s="7" t="s">
        <v>1163</v>
      </c>
      <c r="U4" s="70" t="s">
        <v>1172</v>
      </c>
      <c r="V4" s="66"/>
    </row>
    <row r="5" spans="1:22" ht="30" x14ac:dyDescent="0.25">
      <c r="A5" s="7" t="s">
        <v>1090</v>
      </c>
      <c r="B5" s="7" t="s">
        <v>1092</v>
      </c>
      <c r="C5" s="7" t="s">
        <v>1143</v>
      </c>
      <c r="D5" s="7" t="s">
        <v>1105</v>
      </c>
      <c r="E5" s="7"/>
      <c r="F5" s="59" t="s">
        <v>1077</v>
      </c>
      <c r="G5" s="58" t="s">
        <v>1085</v>
      </c>
      <c r="H5" s="90" t="s">
        <v>1086</v>
      </c>
      <c r="I5" s="120"/>
      <c r="Q5" s="7" t="s">
        <v>1145</v>
      </c>
      <c r="R5" s="67" t="s">
        <v>1076</v>
      </c>
      <c r="S5" s="67" t="s">
        <v>1168</v>
      </c>
      <c r="T5" s="7" t="s">
        <v>1163</v>
      </c>
      <c r="U5" s="70" t="s">
        <v>1171</v>
      </c>
      <c r="V5" s="66"/>
    </row>
    <row r="6" spans="1:22" ht="30" x14ac:dyDescent="0.25">
      <c r="A6" s="7" t="s">
        <v>1090</v>
      </c>
      <c r="B6" s="7" t="s">
        <v>1092</v>
      </c>
      <c r="C6" s="7"/>
      <c r="D6" s="7" t="s">
        <v>1135</v>
      </c>
      <c r="E6" s="7"/>
      <c r="F6" s="59" t="s">
        <v>1078</v>
      </c>
      <c r="G6" s="58" t="s">
        <v>1125</v>
      </c>
      <c r="H6" s="90" t="s">
        <v>1124</v>
      </c>
      <c r="I6" s="120"/>
      <c r="Q6" s="7" t="s">
        <v>1012</v>
      </c>
      <c r="R6" s="67" t="s">
        <v>1150</v>
      </c>
      <c r="S6" s="67" t="s">
        <v>1168</v>
      </c>
      <c r="T6" s="7" t="s">
        <v>1156</v>
      </c>
      <c r="U6" s="70" t="s">
        <v>1173</v>
      </c>
    </row>
    <row r="7" spans="1:22" ht="30" x14ac:dyDescent="0.25">
      <c r="A7" s="7" t="s">
        <v>1090</v>
      </c>
      <c r="B7" s="7" t="s">
        <v>1092</v>
      </c>
      <c r="C7" s="7"/>
      <c r="D7" s="7" t="s">
        <v>1135</v>
      </c>
      <c r="E7" s="7"/>
      <c r="F7" s="59" t="s">
        <v>1078</v>
      </c>
      <c r="G7" s="58" t="s">
        <v>1125</v>
      </c>
      <c r="H7" s="90" t="s">
        <v>1124</v>
      </c>
      <c r="I7" s="120"/>
      <c r="Q7" s="7" t="s">
        <v>1012</v>
      </c>
      <c r="R7" s="7" t="s">
        <v>1150</v>
      </c>
      <c r="S7" s="7" t="s">
        <v>1168</v>
      </c>
      <c r="T7" s="7" t="s">
        <v>1156</v>
      </c>
      <c r="U7" s="70" t="s">
        <v>1173</v>
      </c>
    </row>
    <row r="8" spans="1:22" x14ac:dyDescent="0.25">
      <c r="A8" s="7" t="s">
        <v>1090</v>
      </c>
      <c r="B8" s="7" t="s">
        <v>1092</v>
      </c>
      <c r="C8" s="7" t="s">
        <v>1144</v>
      </c>
      <c r="D8" s="7" t="s">
        <v>1182</v>
      </c>
      <c r="E8" s="7"/>
      <c r="F8" s="60" t="s">
        <v>248</v>
      </c>
      <c r="G8" s="58" t="s">
        <v>248</v>
      </c>
      <c r="H8" s="90" t="s">
        <v>1082</v>
      </c>
      <c r="Q8" s="7" t="s">
        <v>1146</v>
      </c>
      <c r="R8" s="67" t="s">
        <v>610</v>
      </c>
      <c r="S8" s="67" t="s">
        <v>1168</v>
      </c>
      <c r="T8" s="7" t="s">
        <v>1159</v>
      </c>
      <c r="U8" s="7" t="s">
        <v>1159</v>
      </c>
    </row>
    <row r="9" spans="1:22" ht="30" x14ac:dyDescent="0.25">
      <c r="A9" s="7" t="s">
        <v>1090</v>
      </c>
      <c r="B9" s="7" t="s">
        <v>1092</v>
      </c>
      <c r="C9" s="7" t="s">
        <v>1142</v>
      </c>
      <c r="D9" s="7" t="s">
        <v>1132</v>
      </c>
      <c r="E9" s="7"/>
      <c r="F9" s="61" t="s">
        <v>1080</v>
      </c>
      <c r="G9" s="58" t="s">
        <v>1080</v>
      </c>
      <c r="H9" s="90" t="s">
        <v>1126</v>
      </c>
      <c r="Q9" s="7" t="s">
        <v>986</v>
      </c>
      <c r="R9" s="67" t="s">
        <v>1148</v>
      </c>
      <c r="S9" s="67" t="s">
        <v>1168</v>
      </c>
      <c r="T9" s="7" t="s">
        <v>1160</v>
      </c>
      <c r="U9" s="70" t="s">
        <v>1174</v>
      </c>
    </row>
    <row r="10" spans="1:22" ht="30" x14ac:dyDescent="0.25">
      <c r="A10" s="7" t="s">
        <v>1090</v>
      </c>
      <c r="B10" s="7" t="s">
        <v>1092</v>
      </c>
      <c r="C10" s="7"/>
      <c r="D10" s="7" t="s">
        <v>1133</v>
      </c>
      <c r="E10" s="7"/>
      <c r="F10" s="59" t="s">
        <v>1120</v>
      </c>
      <c r="G10" s="58" t="s">
        <v>1121</v>
      </c>
      <c r="H10" s="70"/>
      <c r="Q10" s="7" t="s">
        <v>1000</v>
      </c>
      <c r="R10" s="67" t="s">
        <v>1149</v>
      </c>
      <c r="S10" s="67" t="s">
        <v>1168</v>
      </c>
      <c r="T10" s="7" t="s">
        <v>1164</v>
      </c>
      <c r="U10" s="70" t="s">
        <v>1175</v>
      </c>
    </row>
    <row r="11" spans="1:22" ht="30" x14ac:dyDescent="0.25">
      <c r="A11" s="7" t="s">
        <v>1090</v>
      </c>
      <c r="B11" s="7" t="s">
        <v>1092</v>
      </c>
      <c r="C11" s="7"/>
      <c r="D11" s="7" t="s">
        <v>1133</v>
      </c>
      <c r="E11" s="7"/>
      <c r="F11" s="59" t="s">
        <v>1122</v>
      </c>
      <c r="G11" s="58" t="s">
        <v>1117</v>
      </c>
      <c r="H11" s="90"/>
      <c r="Q11" s="7" t="s">
        <v>1151</v>
      </c>
      <c r="R11" s="67" t="s">
        <v>742</v>
      </c>
      <c r="S11" s="67" t="s">
        <v>1168</v>
      </c>
      <c r="T11" s="7" t="s">
        <v>1165</v>
      </c>
      <c r="U11" s="70" t="s">
        <v>1176</v>
      </c>
    </row>
    <row r="12" spans="1:22" ht="30" x14ac:dyDescent="0.25">
      <c r="A12" s="7" t="s">
        <v>1090</v>
      </c>
      <c r="B12" s="7" t="s">
        <v>1092</v>
      </c>
      <c r="C12" s="7" t="s">
        <v>1144</v>
      </c>
      <c r="D12" s="7" t="s">
        <v>1033</v>
      </c>
      <c r="E12" s="7"/>
      <c r="F12" s="59" t="s">
        <v>1033</v>
      </c>
      <c r="G12" s="58" t="s">
        <v>357</v>
      </c>
      <c r="H12" s="70"/>
      <c r="Q12" s="7" t="s">
        <v>1147</v>
      </c>
      <c r="R12" s="67" t="s">
        <v>1154</v>
      </c>
      <c r="S12" s="67" t="s">
        <v>1168</v>
      </c>
      <c r="T12" s="7" t="s">
        <v>1166</v>
      </c>
      <c r="U12" s="70" t="s">
        <v>1177</v>
      </c>
    </row>
    <row r="13" spans="1:22" ht="26.25" x14ac:dyDescent="0.4">
      <c r="A13" s="7"/>
      <c r="B13" s="7" t="s">
        <v>1393</v>
      </c>
      <c r="C13" s="66"/>
      <c r="D13" s="71"/>
      <c r="F13" s="71"/>
      <c r="G13" s="71"/>
      <c r="H13" s="70"/>
      <c r="Q13" s="7"/>
      <c r="R13" s="67"/>
      <c r="S13" s="67"/>
      <c r="T13" s="7"/>
      <c r="U13" s="70"/>
    </row>
    <row r="14" spans="1:22" ht="30" x14ac:dyDescent="0.25">
      <c r="A14" s="7" t="s">
        <v>1106</v>
      </c>
      <c r="B14" s="7" t="s">
        <v>1107</v>
      </c>
      <c r="C14" s="7"/>
      <c r="D14" s="7" t="s">
        <v>1133</v>
      </c>
      <c r="E14" s="7"/>
      <c r="F14" s="59" t="s">
        <v>1083</v>
      </c>
      <c r="G14" s="58" t="s">
        <v>1087</v>
      </c>
      <c r="H14" s="90"/>
      <c r="Q14" s="7" t="s">
        <v>1143</v>
      </c>
      <c r="R14" s="67" t="s">
        <v>1153</v>
      </c>
      <c r="S14" s="67" t="s">
        <v>1038</v>
      </c>
      <c r="T14" s="7" t="s">
        <v>1157</v>
      </c>
      <c r="U14" s="70" t="s">
        <v>1178</v>
      </c>
      <c r="V14" t="s">
        <v>1158</v>
      </c>
    </row>
    <row r="15" spans="1:22" x14ac:dyDescent="0.25">
      <c r="A15" s="7" t="s">
        <v>1106</v>
      </c>
      <c r="B15" s="7" t="s">
        <v>1107</v>
      </c>
      <c r="C15" s="7"/>
      <c r="D15" s="7" t="s">
        <v>1134</v>
      </c>
      <c r="E15" s="7"/>
      <c r="F15" s="61" t="s">
        <v>1081</v>
      </c>
      <c r="G15" s="60" t="s">
        <v>1080</v>
      </c>
      <c r="H15" s="90" t="s">
        <v>1118</v>
      </c>
      <c r="I15" s="120"/>
    </row>
    <row r="16" spans="1:22" x14ac:dyDescent="0.25">
      <c r="A16" s="7" t="s">
        <v>1106</v>
      </c>
      <c r="B16" s="7" t="s">
        <v>1107</v>
      </c>
      <c r="C16" s="7" t="s">
        <v>1143</v>
      </c>
      <c r="D16" s="7" t="s">
        <v>567</v>
      </c>
      <c r="E16" s="7"/>
      <c r="F16" s="61" t="s">
        <v>1113</v>
      </c>
      <c r="G16" s="60" t="s">
        <v>728</v>
      </c>
      <c r="H16" s="90" t="s">
        <v>1093</v>
      </c>
      <c r="K16" s="114" t="s">
        <v>1123</v>
      </c>
    </row>
    <row r="17" spans="1:9" x14ac:dyDescent="0.25">
      <c r="A17" s="7" t="s">
        <v>1106</v>
      </c>
      <c r="B17" s="7" t="s">
        <v>1107</v>
      </c>
      <c r="C17" s="7" t="s">
        <v>1143</v>
      </c>
      <c r="D17" s="7" t="s">
        <v>564</v>
      </c>
      <c r="E17" s="7"/>
      <c r="F17" s="62" t="s">
        <v>565</v>
      </c>
      <c r="G17" s="62" t="s">
        <v>565</v>
      </c>
      <c r="H17" s="90" t="s">
        <v>1094</v>
      </c>
    </row>
    <row r="18" spans="1:9" x14ac:dyDescent="0.25">
      <c r="A18" s="7" t="s">
        <v>1106</v>
      </c>
      <c r="B18" s="7" t="s">
        <v>1107</v>
      </c>
      <c r="C18" s="7" t="s">
        <v>1144</v>
      </c>
      <c r="D18" s="7" t="s">
        <v>669</v>
      </c>
      <c r="E18" s="7"/>
      <c r="F18" s="60" t="s">
        <v>248</v>
      </c>
      <c r="G18" s="58" t="s">
        <v>248</v>
      </c>
      <c r="H18" s="90" t="s">
        <v>1082</v>
      </c>
    </row>
    <row r="19" spans="1:9" x14ac:dyDescent="0.25">
      <c r="A19" s="7" t="s">
        <v>1106</v>
      </c>
      <c r="B19" s="7" t="s">
        <v>1107</v>
      </c>
      <c r="C19" s="7"/>
      <c r="D19" s="7"/>
      <c r="E19" s="7"/>
      <c r="F19" s="59" t="s">
        <v>1114</v>
      </c>
      <c r="G19" s="58" t="s">
        <v>728</v>
      </c>
      <c r="H19" s="90" t="s">
        <v>1115</v>
      </c>
    </row>
    <row r="20" spans="1:9" x14ac:dyDescent="0.25">
      <c r="A20" s="7" t="s">
        <v>1106</v>
      </c>
      <c r="B20" s="7" t="s">
        <v>1107</v>
      </c>
      <c r="C20" s="7" t="s">
        <v>1145</v>
      </c>
      <c r="D20" s="7" t="s">
        <v>1137</v>
      </c>
      <c r="E20" s="7"/>
      <c r="F20" s="59" t="s">
        <v>671</v>
      </c>
      <c r="G20" s="58" t="s">
        <v>1076</v>
      </c>
      <c r="H20" s="90" t="s">
        <v>1088</v>
      </c>
    </row>
    <row r="21" spans="1:9" ht="26.25" x14ac:dyDescent="0.25">
      <c r="A21" s="7" t="s">
        <v>1106</v>
      </c>
      <c r="B21" s="7" t="s">
        <v>1107</v>
      </c>
      <c r="C21" s="7" t="s">
        <v>1144</v>
      </c>
      <c r="D21" s="7" t="s">
        <v>1138</v>
      </c>
      <c r="E21" s="7"/>
      <c r="F21" s="59" t="s">
        <v>1116</v>
      </c>
      <c r="G21" s="58" t="s">
        <v>248</v>
      </c>
      <c r="H21" s="90" t="s">
        <v>1129</v>
      </c>
    </row>
    <row r="22" spans="1:9" x14ac:dyDescent="0.25">
      <c r="A22" s="7" t="s">
        <v>1106</v>
      </c>
      <c r="B22" s="7" t="s">
        <v>1107</v>
      </c>
      <c r="C22" s="7" t="s">
        <v>1143</v>
      </c>
      <c r="D22" s="7" t="s">
        <v>1103</v>
      </c>
      <c r="E22" s="7"/>
      <c r="F22" s="59" t="s">
        <v>1098</v>
      </c>
      <c r="G22" s="58" t="s">
        <v>1099</v>
      </c>
      <c r="H22" s="90"/>
    </row>
    <row r="23" spans="1:9" x14ac:dyDescent="0.25">
      <c r="A23" s="7" t="s">
        <v>1106</v>
      </c>
      <c r="B23" s="7" t="s">
        <v>1107</v>
      </c>
      <c r="C23" s="7"/>
      <c r="D23" s="7" t="s">
        <v>1136</v>
      </c>
      <c r="E23" s="7"/>
      <c r="F23" s="59" t="s">
        <v>1100</v>
      </c>
      <c r="G23" s="58" t="s">
        <v>1101</v>
      </c>
      <c r="H23" s="90"/>
      <c r="I23" s="120"/>
    </row>
    <row r="24" spans="1:9" x14ac:dyDescent="0.25">
      <c r="A24" s="7" t="s">
        <v>1106</v>
      </c>
      <c r="B24" s="7" t="s">
        <v>1107</v>
      </c>
      <c r="C24" s="7" t="s">
        <v>1142</v>
      </c>
      <c r="D24" s="7" t="s">
        <v>1102</v>
      </c>
      <c r="E24" s="7"/>
      <c r="F24" s="59" t="s">
        <v>1102</v>
      </c>
      <c r="G24" s="58" t="s">
        <v>1252</v>
      </c>
      <c r="H24" s="90"/>
    </row>
    <row r="25" spans="1:9" x14ac:dyDescent="0.25">
      <c r="A25" s="7" t="s">
        <v>1106</v>
      </c>
      <c r="B25" s="7" t="s">
        <v>1107</v>
      </c>
      <c r="C25" s="7" t="s">
        <v>1143</v>
      </c>
      <c r="D25" s="7" t="s">
        <v>1103</v>
      </c>
      <c r="E25" s="7"/>
      <c r="F25" s="59" t="s">
        <v>1103</v>
      </c>
      <c r="G25" s="58" t="s">
        <v>1099</v>
      </c>
      <c r="H25" s="70"/>
    </row>
    <row r="26" spans="1:9" x14ac:dyDescent="0.25">
      <c r="A26" s="7" t="s">
        <v>1106</v>
      </c>
      <c r="B26" s="7" t="s">
        <v>1107</v>
      </c>
      <c r="C26" s="7"/>
      <c r="D26" s="7" t="s">
        <v>1136</v>
      </c>
      <c r="E26" s="7"/>
      <c r="F26" s="59" t="s">
        <v>1104</v>
      </c>
      <c r="G26" s="58" t="s">
        <v>1101</v>
      </c>
      <c r="H26" s="70"/>
    </row>
    <row r="27" spans="1:9" x14ac:dyDescent="0.25">
      <c r="A27" s="7" t="s">
        <v>1106</v>
      </c>
      <c r="B27" s="7" t="s">
        <v>1107</v>
      </c>
      <c r="C27" s="7" t="s">
        <v>1143</v>
      </c>
      <c r="D27" s="7" t="s">
        <v>1105</v>
      </c>
      <c r="E27" s="7"/>
      <c r="F27" s="59" t="s">
        <v>1105</v>
      </c>
      <c r="G27" s="58" t="s">
        <v>1085</v>
      </c>
      <c r="H27" s="90"/>
    </row>
    <row r="28" spans="1:9" x14ac:dyDescent="0.25">
      <c r="A28" s="7" t="s">
        <v>1106</v>
      </c>
      <c r="B28" s="7" t="s">
        <v>1107</v>
      </c>
      <c r="C28" s="7"/>
      <c r="D28" s="7" t="s">
        <v>1139</v>
      </c>
      <c r="E28" s="7"/>
      <c r="F28" s="59" t="s">
        <v>1119</v>
      </c>
      <c r="G28" s="58" t="s">
        <v>1117</v>
      </c>
      <c r="H28" s="90"/>
    </row>
    <row r="29" spans="1:9" x14ac:dyDescent="0.25">
      <c r="A29" s="7" t="s">
        <v>1106</v>
      </c>
      <c r="B29" s="7" t="s">
        <v>1107</v>
      </c>
      <c r="C29" s="7" t="s">
        <v>1012</v>
      </c>
      <c r="D29" s="7" t="s">
        <v>1140</v>
      </c>
      <c r="E29" s="7"/>
      <c r="F29" s="59" t="s">
        <v>1108</v>
      </c>
      <c r="G29" s="58" t="s">
        <v>1111</v>
      </c>
      <c r="H29" s="90"/>
    </row>
    <row r="30" spans="1:9" x14ac:dyDescent="0.25">
      <c r="A30" s="7" t="s">
        <v>1106</v>
      </c>
      <c r="B30" s="7" t="s">
        <v>1107</v>
      </c>
      <c r="C30" s="7" t="s">
        <v>1012</v>
      </c>
      <c r="D30" s="7" t="s">
        <v>1022</v>
      </c>
      <c r="E30" s="7"/>
      <c r="F30" s="59" t="s">
        <v>1109</v>
      </c>
      <c r="G30" s="58" t="s">
        <v>1110</v>
      </c>
      <c r="H30" s="90"/>
    </row>
    <row r="31" spans="1:9" x14ac:dyDescent="0.25">
      <c r="A31" s="7" t="s">
        <v>1106</v>
      </c>
      <c r="B31" s="7" t="s">
        <v>1107</v>
      </c>
      <c r="C31" s="7" t="s">
        <v>1144</v>
      </c>
      <c r="D31" s="65" t="s">
        <v>1031</v>
      </c>
      <c r="E31" s="7"/>
      <c r="F31" s="59" t="s">
        <v>1031</v>
      </c>
      <c r="G31" s="58" t="s">
        <v>353</v>
      </c>
      <c r="H31" s="90"/>
    </row>
    <row r="32" spans="1:9" x14ac:dyDescent="0.25">
      <c r="A32" s="7" t="s">
        <v>1106</v>
      </c>
      <c r="B32" s="7" t="s">
        <v>1107</v>
      </c>
      <c r="C32" s="7" t="s">
        <v>1144</v>
      </c>
      <c r="D32" s="65" t="s">
        <v>1032</v>
      </c>
      <c r="E32" s="7"/>
      <c r="F32" s="59" t="s">
        <v>1032</v>
      </c>
      <c r="G32" s="58" t="s">
        <v>355</v>
      </c>
      <c r="H32" s="90"/>
    </row>
    <row r="33" spans="1:10" x14ac:dyDescent="0.25">
      <c r="A33" s="7" t="s">
        <v>1106</v>
      </c>
      <c r="B33" s="7" t="s">
        <v>1107</v>
      </c>
      <c r="C33" s="7" t="s">
        <v>1144</v>
      </c>
      <c r="D33" s="65" t="s">
        <v>1112</v>
      </c>
      <c r="E33" s="7"/>
      <c r="F33" s="59" t="s">
        <v>1112</v>
      </c>
      <c r="G33" s="58" t="s">
        <v>699</v>
      </c>
      <c r="H33" s="90"/>
    </row>
    <row r="34" spans="1:10" x14ac:dyDescent="0.25">
      <c r="A34" s="7" t="s">
        <v>1106</v>
      </c>
      <c r="B34" s="7" t="s">
        <v>1107</v>
      </c>
      <c r="C34" s="7" t="s">
        <v>1144</v>
      </c>
      <c r="D34" s="65" t="s">
        <v>1030</v>
      </c>
      <c r="E34" s="7"/>
      <c r="F34" s="59" t="s">
        <v>1030</v>
      </c>
      <c r="G34" s="58" t="s">
        <v>248</v>
      </c>
      <c r="H34" s="90"/>
    </row>
    <row r="35" spans="1:10" x14ac:dyDescent="0.25">
      <c r="A35" s="7" t="s">
        <v>1106</v>
      </c>
      <c r="B35" s="7" t="s">
        <v>1107</v>
      </c>
      <c r="C35" s="7" t="s">
        <v>1146</v>
      </c>
      <c r="D35" s="65" t="s">
        <v>367</v>
      </c>
      <c r="E35" s="7"/>
      <c r="F35" s="59" t="s">
        <v>367</v>
      </c>
      <c r="G35" s="58" t="s">
        <v>610</v>
      </c>
      <c r="H35" s="90"/>
    </row>
    <row r="36" spans="1:10" x14ac:dyDescent="0.25">
      <c r="A36" s="7" t="s">
        <v>1106</v>
      </c>
      <c r="B36" s="7" t="s">
        <v>1107</v>
      </c>
      <c r="C36" s="7" t="s">
        <v>986</v>
      </c>
      <c r="D36" s="65" t="s">
        <v>1095</v>
      </c>
      <c r="E36" s="7"/>
      <c r="F36" s="59" t="s">
        <v>1095</v>
      </c>
      <c r="G36" s="58" t="s">
        <v>1096</v>
      </c>
      <c r="H36" s="70"/>
    </row>
    <row r="37" spans="1:10" x14ac:dyDescent="0.25">
      <c r="A37" s="7" t="s">
        <v>1106</v>
      </c>
      <c r="B37" s="7" t="s">
        <v>1107</v>
      </c>
      <c r="C37" s="7" t="s">
        <v>1145</v>
      </c>
      <c r="D37" s="7" t="s">
        <v>669</v>
      </c>
      <c r="E37" s="7"/>
      <c r="F37" s="59" t="s">
        <v>1097</v>
      </c>
      <c r="G37" s="58" t="s">
        <v>1076</v>
      </c>
      <c r="H37" s="70"/>
    </row>
    <row r="38" spans="1:10" ht="39" x14ac:dyDescent="0.25">
      <c r="A38" s="7"/>
      <c r="B38" s="7" t="s">
        <v>1107</v>
      </c>
      <c r="C38" s="7"/>
      <c r="D38" s="7"/>
      <c r="E38" s="7" t="s">
        <v>1241</v>
      </c>
      <c r="F38" s="7"/>
      <c r="G38" s="58" t="s">
        <v>1092</v>
      </c>
      <c r="H38" s="90" t="s">
        <v>1179</v>
      </c>
      <c r="I38" s="120"/>
    </row>
    <row r="39" spans="1:10" ht="51.75" x14ac:dyDescent="0.25">
      <c r="A39" s="7"/>
      <c r="B39" s="7" t="s">
        <v>1107</v>
      </c>
      <c r="C39" s="7"/>
      <c r="D39" s="7"/>
      <c r="E39" s="7" t="s">
        <v>1241</v>
      </c>
      <c r="F39" s="7"/>
      <c r="G39" s="58" t="s">
        <v>1181</v>
      </c>
      <c r="H39" s="90" t="s">
        <v>1180</v>
      </c>
      <c r="I39" s="120"/>
    </row>
    <row r="40" spans="1:10" x14ac:dyDescent="0.25">
      <c r="A40" t="s">
        <v>1242</v>
      </c>
      <c r="B40" s="91" t="s">
        <v>1259</v>
      </c>
      <c r="E40" t="s">
        <v>1256</v>
      </c>
      <c r="F40" t="s">
        <v>1242</v>
      </c>
      <c r="G40" s="58" t="s">
        <v>1242</v>
      </c>
    </row>
    <row r="41" spans="1:10" x14ac:dyDescent="0.25">
      <c r="A41" t="s">
        <v>1242</v>
      </c>
      <c r="B41" s="91" t="s">
        <v>1259</v>
      </c>
      <c r="F41" t="s">
        <v>1080</v>
      </c>
      <c r="G41" s="58" t="s">
        <v>1080</v>
      </c>
    </row>
    <row r="42" spans="1:10" x14ac:dyDescent="0.25">
      <c r="A42" t="s">
        <v>1242</v>
      </c>
      <c r="B42" s="91" t="s">
        <v>1259</v>
      </c>
      <c r="F42" t="s">
        <v>248</v>
      </c>
      <c r="G42" s="58" t="s">
        <v>248</v>
      </c>
    </row>
    <row r="43" spans="1:10" x14ac:dyDescent="0.25">
      <c r="A43" t="s">
        <v>1242</v>
      </c>
      <c r="B43" s="91" t="s">
        <v>1259</v>
      </c>
      <c r="C43" t="s">
        <v>1316</v>
      </c>
      <c r="F43" t="s">
        <v>614</v>
      </c>
      <c r="G43" s="58" t="s">
        <v>1252</v>
      </c>
      <c r="H43" s="72" t="s">
        <v>1289</v>
      </c>
      <c r="J43" t="s">
        <v>1344</v>
      </c>
    </row>
    <row r="44" spans="1:10" x14ac:dyDescent="0.25">
      <c r="A44" t="s">
        <v>1242</v>
      </c>
      <c r="B44" s="91" t="s">
        <v>1259</v>
      </c>
      <c r="F44" t="s">
        <v>1099</v>
      </c>
      <c r="G44" s="58" t="s">
        <v>1099</v>
      </c>
    </row>
    <row r="45" spans="1:10" ht="45" x14ac:dyDescent="0.25">
      <c r="A45" t="s">
        <v>1242</v>
      </c>
      <c r="B45" s="91" t="s">
        <v>1259</v>
      </c>
      <c r="D45" t="s">
        <v>1244</v>
      </c>
      <c r="E45" t="s">
        <v>1256</v>
      </c>
      <c r="G45" s="58" t="s">
        <v>1290</v>
      </c>
      <c r="H45" s="72" t="s">
        <v>1291</v>
      </c>
      <c r="I45" s="92" t="s">
        <v>1293</v>
      </c>
      <c r="J45" t="s">
        <v>1343</v>
      </c>
    </row>
    <row r="46" spans="1:10" ht="23.25" customHeight="1" x14ac:dyDescent="0.25">
      <c r="A46" t="s">
        <v>1242</v>
      </c>
      <c r="B46" s="91" t="s">
        <v>1259</v>
      </c>
      <c r="C46" t="s">
        <v>1316</v>
      </c>
      <c r="D46" t="s">
        <v>368</v>
      </c>
      <c r="G46" s="58" t="s">
        <v>608</v>
      </c>
      <c r="H46" s="72" t="s">
        <v>1255</v>
      </c>
      <c r="J46" t="s">
        <v>1344</v>
      </c>
    </row>
    <row r="47" spans="1:10" x14ac:dyDescent="0.25">
      <c r="A47" t="s">
        <v>1242</v>
      </c>
      <c r="B47" s="91" t="s">
        <v>1259</v>
      </c>
      <c r="C47" t="s">
        <v>1316</v>
      </c>
      <c r="D47" t="s">
        <v>1243</v>
      </c>
      <c r="G47" s="58" t="s">
        <v>1294</v>
      </c>
      <c r="H47" s="72" t="s">
        <v>1292</v>
      </c>
      <c r="J47" t="s">
        <v>1344</v>
      </c>
    </row>
    <row r="48" spans="1:10" x14ac:dyDescent="0.25">
      <c r="A48" t="s">
        <v>1242</v>
      </c>
      <c r="B48" s="91" t="s">
        <v>1259</v>
      </c>
      <c r="C48" t="s">
        <v>1316</v>
      </c>
      <c r="D48" t="s">
        <v>1245</v>
      </c>
      <c r="G48" s="58" t="s">
        <v>1260</v>
      </c>
      <c r="H48" s="103" t="s">
        <v>1326</v>
      </c>
      <c r="J48" t="s">
        <v>1345</v>
      </c>
    </row>
    <row r="49" spans="1:13" x14ac:dyDescent="0.25">
      <c r="A49" t="s">
        <v>1242</v>
      </c>
      <c r="B49" s="91" t="s">
        <v>1259</v>
      </c>
      <c r="D49" t="s">
        <v>1246</v>
      </c>
      <c r="E49" t="s">
        <v>1256</v>
      </c>
      <c r="G49" s="58" t="s">
        <v>1295</v>
      </c>
    </row>
    <row r="50" spans="1:13" x14ac:dyDescent="0.25">
      <c r="A50" t="s">
        <v>1242</v>
      </c>
      <c r="B50" s="91" t="s">
        <v>1259</v>
      </c>
      <c r="C50" t="s">
        <v>1317</v>
      </c>
      <c r="D50" t="s">
        <v>1247</v>
      </c>
      <c r="G50" s="58" t="s">
        <v>1080</v>
      </c>
      <c r="H50" s="72" t="s">
        <v>1254</v>
      </c>
      <c r="J50" t="s">
        <v>1344</v>
      </c>
    </row>
    <row r="51" spans="1:13" x14ac:dyDescent="0.25">
      <c r="A51" t="s">
        <v>1242</v>
      </c>
      <c r="B51" s="91" t="s">
        <v>1259</v>
      </c>
      <c r="F51" t="s">
        <v>248</v>
      </c>
      <c r="G51" s="58" t="s">
        <v>248</v>
      </c>
      <c r="H51" s="72" t="s">
        <v>1296</v>
      </c>
    </row>
    <row r="52" spans="1:13" x14ac:dyDescent="0.25">
      <c r="A52" t="s">
        <v>1242</v>
      </c>
      <c r="B52" s="91" t="s">
        <v>1259</v>
      </c>
      <c r="D52" t="s">
        <v>1058</v>
      </c>
      <c r="G52" s="58" t="s">
        <v>1297</v>
      </c>
      <c r="I52" t="s">
        <v>1346</v>
      </c>
    </row>
    <row r="53" spans="1:13" x14ac:dyDescent="0.25">
      <c r="A53" t="s">
        <v>1242</v>
      </c>
      <c r="B53" s="91" t="s">
        <v>1259</v>
      </c>
      <c r="F53" t="s">
        <v>1099</v>
      </c>
      <c r="G53" s="58" t="s">
        <v>1099</v>
      </c>
    </row>
    <row r="54" spans="1:13" x14ac:dyDescent="0.25">
      <c r="A54" t="s">
        <v>1242</v>
      </c>
      <c r="B54" s="91" t="s">
        <v>1259</v>
      </c>
      <c r="D54" t="s">
        <v>1249</v>
      </c>
      <c r="E54" t="s">
        <v>1257</v>
      </c>
      <c r="G54" s="58" t="s">
        <v>1262</v>
      </c>
      <c r="I54" t="s">
        <v>1318</v>
      </c>
    </row>
    <row r="55" spans="1:13" x14ac:dyDescent="0.25">
      <c r="A55" t="s">
        <v>1242</v>
      </c>
      <c r="B55" s="91" t="s">
        <v>1259</v>
      </c>
      <c r="D55" t="s">
        <v>1248</v>
      </c>
      <c r="E55" t="s">
        <v>1257</v>
      </c>
      <c r="G55" s="58" t="s">
        <v>1298</v>
      </c>
      <c r="H55" s="72" t="s">
        <v>1261</v>
      </c>
      <c r="I55" t="s">
        <v>1318</v>
      </c>
    </row>
    <row r="56" spans="1:13" ht="30" x14ac:dyDescent="0.25">
      <c r="A56" t="s">
        <v>1242</v>
      </c>
      <c r="B56" s="91" t="s">
        <v>1259</v>
      </c>
      <c r="D56" t="s">
        <v>1250</v>
      </c>
      <c r="E56" t="s">
        <v>1257</v>
      </c>
      <c r="G56" s="58" t="s">
        <v>1299</v>
      </c>
      <c r="H56" s="72" t="s">
        <v>1263</v>
      </c>
      <c r="I56" t="s">
        <v>1318</v>
      </c>
    </row>
    <row r="57" spans="1:13" x14ac:dyDescent="0.25">
      <c r="A57" t="s">
        <v>1242</v>
      </c>
      <c r="B57" s="91" t="s">
        <v>1259</v>
      </c>
      <c r="D57" t="s">
        <v>1251</v>
      </c>
      <c r="E57" t="s">
        <v>1257</v>
      </c>
      <c r="G57" s="58" t="s">
        <v>1300</v>
      </c>
      <c r="I57" t="s">
        <v>1318</v>
      </c>
    </row>
    <row r="58" spans="1:13" ht="30" x14ac:dyDescent="0.25">
      <c r="A58" t="s">
        <v>1258</v>
      </c>
      <c r="B58" s="91" t="s">
        <v>1283</v>
      </c>
      <c r="F58" t="s">
        <v>1264</v>
      </c>
      <c r="G58" s="58" t="s">
        <v>1264</v>
      </c>
      <c r="H58" s="72" t="s">
        <v>1278</v>
      </c>
      <c r="I58" s="120"/>
    </row>
    <row r="59" spans="1:13" ht="30" x14ac:dyDescent="0.25">
      <c r="B59" s="91" t="s">
        <v>1283</v>
      </c>
      <c r="C59" t="s">
        <v>1339</v>
      </c>
      <c r="D59" t="s">
        <v>1340</v>
      </c>
      <c r="F59" t="s">
        <v>1342</v>
      </c>
      <c r="G59" s="58" t="s">
        <v>1336</v>
      </c>
      <c r="H59" s="72" t="s">
        <v>1278</v>
      </c>
      <c r="I59" s="120" t="s">
        <v>1321</v>
      </c>
      <c r="J59" t="s">
        <v>1344</v>
      </c>
    </row>
    <row r="60" spans="1:13" x14ac:dyDescent="0.25">
      <c r="A60" t="s">
        <v>1258</v>
      </c>
      <c r="B60" s="91" t="s">
        <v>1283</v>
      </c>
      <c r="C60" t="s">
        <v>1317</v>
      </c>
      <c r="F60" t="s">
        <v>1265</v>
      </c>
      <c r="G60" s="58" t="s">
        <v>1266</v>
      </c>
      <c r="H60" s="72" t="s">
        <v>1279</v>
      </c>
      <c r="I60" s="120" t="s">
        <v>1319</v>
      </c>
      <c r="J60" t="s">
        <v>1344</v>
      </c>
      <c r="K60" s="115">
        <v>44635</v>
      </c>
      <c r="L60" s="121">
        <v>44642</v>
      </c>
      <c r="M60" t="s">
        <v>1378</v>
      </c>
    </row>
    <row r="61" spans="1:13" x14ac:dyDescent="0.25">
      <c r="A61" t="s">
        <v>1258</v>
      </c>
      <c r="B61" s="91" t="s">
        <v>1283</v>
      </c>
      <c r="C61" t="s">
        <v>1317</v>
      </c>
      <c r="D61" t="s">
        <v>1338</v>
      </c>
      <c r="F61" t="s">
        <v>1338</v>
      </c>
      <c r="G61" s="58" t="s">
        <v>1337</v>
      </c>
      <c r="H61" s="72" t="s">
        <v>1279</v>
      </c>
      <c r="I61" s="120" t="s">
        <v>1321</v>
      </c>
      <c r="J61" t="s">
        <v>1344</v>
      </c>
      <c r="K61" s="115">
        <v>44636</v>
      </c>
      <c r="L61" s="121">
        <v>44642</v>
      </c>
      <c r="M61" t="s">
        <v>1364</v>
      </c>
    </row>
    <row r="62" spans="1:13" ht="30" x14ac:dyDescent="0.25">
      <c r="A62" t="s">
        <v>1258</v>
      </c>
      <c r="B62" s="91" t="s">
        <v>1283</v>
      </c>
      <c r="F62" t="s">
        <v>1267</v>
      </c>
      <c r="G62" s="58" t="s">
        <v>1267</v>
      </c>
      <c r="H62" s="72" t="s">
        <v>1280</v>
      </c>
      <c r="I62" s="120"/>
    </row>
    <row r="63" spans="1:13" x14ac:dyDescent="0.25">
      <c r="A63" t="s">
        <v>1258</v>
      </c>
      <c r="B63" s="91" t="s">
        <v>1283</v>
      </c>
      <c r="F63" t="s">
        <v>1268</v>
      </c>
      <c r="G63" s="58" t="s">
        <v>1268</v>
      </c>
      <c r="I63" s="120"/>
    </row>
    <row r="64" spans="1:13" x14ac:dyDescent="0.25">
      <c r="A64" t="s">
        <v>1258</v>
      </c>
      <c r="B64" s="91" t="s">
        <v>1283</v>
      </c>
      <c r="C64" t="s">
        <v>1317</v>
      </c>
      <c r="F64" t="s">
        <v>1264</v>
      </c>
      <c r="G64" s="58" t="s">
        <v>1264</v>
      </c>
      <c r="I64" s="120"/>
      <c r="J64" t="s">
        <v>1347</v>
      </c>
    </row>
    <row r="65" spans="1:10" x14ac:dyDescent="0.25">
      <c r="A65" t="s">
        <v>1258</v>
      </c>
      <c r="B65" s="91" t="s">
        <v>1283</v>
      </c>
      <c r="C65" t="s">
        <v>1317</v>
      </c>
      <c r="F65" t="s">
        <v>1084</v>
      </c>
      <c r="G65" s="58" t="s">
        <v>1084</v>
      </c>
      <c r="H65" s="72" t="s">
        <v>1281</v>
      </c>
      <c r="I65" s="120"/>
      <c r="J65" t="s">
        <v>1347</v>
      </c>
    </row>
    <row r="66" spans="1:10" x14ac:dyDescent="0.25">
      <c r="A66" t="s">
        <v>1258</v>
      </c>
      <c r="B66" s="91" t="s">
        <v>1283</v>
      </c>
      <c r="C66" t="s">
        <v>1317</v>
      </c>
      <c r="F66" t="s">
        <v>1265</v>
      </c>
      <c r="G66" s="58" t="s">
        <v>1266</v>
      </c>
      <c r="I66" s="120"/>
      <c r="J66" t="s">
        <v>1347</v>
      </c>
    </row>
    <row r="67" spans="1:10" x14ac:dyDescent="0.25">
      <c r="A67" t="s">
        <v>1258</v>
      </c>
      <c r="B67" s="91" t="s">
        <v>1283</v>
      </c>
      <c r="C67" t="s">
        <v>1320</v>
      </c>
      <c r="G67" s="58" t="s">
        <v>1282</v>
      </c>
      <c r="I67" t="s">
        <v>1348</v>
      </c>
      <c r="J67" t="s">
        <v>1345</v>
      </c>
    </row>
    <row r="68" spans="1:10" x14ac:dyDescent="0.25">
      <c r="A68" t="s">
        <v>1269</v>
      </c>
      <c r="B68" s="91" t="s">
        <v>1325</v>
      </c>
      <c r="D68" t="s">
        <v>1271</v>
      </c>
      <c r="E68" t="s">
        <v>1270</v>
      </c>
      <c r="G68" s="58" t="s">
        <v>1301</v>
      </c>
      <c r="H68" s="72" t="s">
        <v>1341</v>
      </c>
    </row>
    <row r="69" spans="1:10" x14ac:dyDescent="0.25">
      <c r="A69" t="s">
        <v>1269</v>
      </c>
      <c r="B69" s="91" t="s">
        <v>1325</v>
      </c>
      <c r="E69" t="s">
        <v>1272</v>
      </c>
      <c r="F69" t="s">
        <v>1085</v>
      </c>
      <c r="G69" s="58" t="s">
        <v>1085</v>
      </c>
      <c r="H69" s="72" t="s">
        <v>1341</v>
      </c>
    </row>
    <row r="70" spans="1:10" x14ac:dyDescent="0.25">
      <c r="A70" t="s">
        <v>1269</v>
      </c>
      <c r="B70" s="91" t="s">
        <v>1325</v>
      </c>
      <c r="E70" t="s">
        <v>1272</v>
      </c>
      <c r="F70" t="s">
        <v>1101</v>
      </c>
      <c r="G70" s="58" t="s">
        <v>1302</v>
      </c>
      <c r="H70" s="72" t="s">
        <v>1341</v>
      </c>
    </row>
    <row r="71" spans="1:10" x14ac:dyDescent="0.25">
      <c r="A71" t="s">
        <v>1269</v>
      </c>
      <c r="B71" s="91" t="s">
        <v>1325</v>
      </c>
      <c r="E71" t="s">
        <v>1272</v>
      </c>
      <c r="F71" t="s">
        <v>1284</v>
      </c>
      <c r="G71" s="58" t="s">
        <v>1285</v>
      </c>
      <c r="H71" s="72" t="s">
        <v>1341</v>
      </c>
      <c r="I71" t="s">
        <v>1322</v>
      </c>
    </row>
    <row r="72" spans="1:10" x14ac:dyDescent="0.25">
      <c r="A72" t="s">
        <v>1269</v>
      </c>
      <c r="B72" s="91" t="s">
        <v>1325</v>
      </c>
      <c r="D72" t="s">
        <v>1273</v>
      </c>
      <c r="E72" t="s">
        <v>1270</v>
      </c>
      <c r="G72" s="58" t="s">
        <v>1303</v>
      </c>
      <c r="H72" s="72" t="s">
        <v>1341</v>
      </c>
    </row>
    <row r="73" spans="1:10" x14ac:dyDescent="0.25">
      <c r="A73" t="s">
        <v>1269</v>
      </c>
      <c r="B73" s="91" t="s">
        <v>1325</v>
      </c>
      <c r="E73" t="s">
        <v>1274</v>
      </c>
      <c r="F73" t="s">
        <v>248</v>
      </c>
      <c r="G73" s="58" t="s">
        <v>248</v>
      </c>
      <c r="H73" s="72" t="s">
        <v>1341</v>
      </c>
    </row>
    <row r="74" spans="1:10" x14ac:dyDescent="0.25">
      <c r="A74" t="s">
        <v>1269</v>
      </c>
      <c r="B74" s="91" t="s">
        <v>1325</v>
      </c>
      <c r="E74" t="s">
        <v>1274</v>
      </c>
      <c r="F74" t="s">
        <v>1099</v>
      </c>
      <c r="G74" s="58" t="s">
        <v>1085</v>
      </c>
      <c r="H74" s="72" t="s">
        <v>1341</v>
      </c>
    </row>
    <row r="75" spans="1:10" x14ac:dyDescent="0.25">
      <c r="A75" t="s">
        <v>1269</v>
      </c>
      <c r="B75" s="91" t="s">
        <v>1325</v>
      </c>
      <c r="E75" t="s">
        <v>1274</v>
      </c>
      <c r="F75" t="s">
        <v>1101</v>
      </c>
      <c r="G75" s="58" t="s">
        <v>1302</v>
      </c>
      <c r="H75" s="72" t="s">
        <v>1341</v>
      </c>
    </row>
    <row r="76" spans="1:10" x14ac:dyDescent="0.25">
      <c r="A76" t="s">
        <v>1269</v>
      </c>
      <c r="B76" s="91" t="s">
        <v>1325</v>
      </c>
      <c r="E76" t="s">
        <v>1274</v>
      </c>
      <c r="F76" t="s">
        <v>1275</v>
      </c>
      <c r="G76" s="58" t="s">
        <v>1285</v>
      </c>
      <c r="H76" s="72" t="s">
        <v>1341</v>
      </c>
      <c r="I76" t="s">
        <v>1323</v>
      </c>
    </row>
    <row r="77" spans="1:10" x14ac:dyDescent="0.25">
      <c r="A77" t="s">
        <v>1269</v>
      </c>
      <c r="B77" s="91" t="s">
        <v>1325</v>
      </c>
      <c r="D77" t="s">
        <v>1277</v>
      </c>
      <c r="E77" t="s">
        <v>1270</v>
      </c>
      <c r="G77" s="58" t="s">
        <v>1304</v>
      </c>
      <c r="H77" s="72" t="s">
        <v>1341</v>
      </c>
    </row>
    <row r="78" spans="1:10" x14ac:dyDescent="0.25">
      <c r="A78" s="7" t="s">
        <v>1269</v>
      </c>
      <c r="B78" s="106" t="s">
        <v>1325</v>
      </c>
      <c r="C78" s="67" t="s">
        <v>1324</v>
      </c>
      <c r="D78" s="7" t="s">
        <v>1025</v>
      </c>
      <c r="E78" s="7" t="s">
        <v>1276</v>
      </c>
      <c r="F78" s="7"/>
      <c r="G78" s="107" t="s">
        <v>1286</v>
      </c>
      <c r="J78" t="s">
        <v>1344</v>
      </c>
    </row>
    <row r="79" spans="1:10" x14ac:dyDescent="0.25">
      <c r="A79" s="7"/>
      <c r="B79" s="7"/>
      <c r="C79" s="107" t="s">
        <v>1327</v>
      </c>
      <c r="D79" s="7" t="s">
        <v>1130</v>
      </c>
      <c r="E79" s="7"/>
      <c r="F79" s="7"/>
      <c r="G79" s="58" t="s">
        <v>1252</v>
      </c>
      <c r="J79" t="s">
        <v>1344</v>
      </c>
    </row>
    <row r="80" spans="1:10" x14ac:dyDescent="0.25">
      <c r="A80" s="7"/>
      <c r="B80" s="7"/>
      <c r="C80" s="107" t="s">
        <v>1327</v>
      </c>
      <c r="D80" s="7" t="s">
        <v>1030</v>
      </c>
      <c r="E80" s="7"/>
      <c r="F80" s="7" t="s">
        <v>1030</v>
      </c>
      <c r="G80" s="107" t="s">
        <v>248</v>
      </c>
      <c r="J80" t="s">
        <v>1344</v>
      </c>
    </row>
    <row r="81" spans="1:13" x14ac:dyDescent="0.25">
      <c r="A81" s="7"/>
      <c r="B81" s="7"/>
      <c r="C81" s="107" t="s">
        <v>1327</v>
      </c>
      <c r="D81" s="7" t="s">
        <v>669</v>
      </c>
      <c r="E81" s="7"/>
      <c r="F81" s="7"/>
      <c r="G81" s="107" t="s">
        <v>668</v>
      </c>
      <c r="H81" s="72" t="s">
        <v>1352</v>
      </c>
      <c r="J81" t="s">
        <v>1344</v>
      </c>
    </row>
    <row r="82" spans="1:13" x14ac:dyDescent="0.25">
      <c r="A82" s="7"/>
      <c r="B82" s="7"/>
      <c r="C82" s="107" t="s">
        <v>1327</v>
      </c>
      <c r="D82" s="7" t="s">
        <v>606</v>
      </c>
      <c r="E82" s="7"/>
      <c r="F82" s="7"/>
      <c r="G82" s="107" t="s">
        <v>525</v>
      </c>
      <c r="J82" t="s">
        <v>1344</v>
      </c>
    </row>
    <row r="83" spans="1:13" x14ac:dyDescent="0.25">
      <c r="A83" s="7"/>
      <c r="B83" s="7"/>
      <c r="C83" s="107" t="s">
        <v>1327</v>
      </c>
      <c r="D83" s="7" t="s">
        <v>1328</v>
      </c>
      <c r="E83" s="7"/>
      <c r="F83" s="7" t="s">
        <v>1328</v>
      </c>
      <c r="G83" s="108" t="s">
        <v>332</v>
      </c>
      <c r="H83" s="72" t="s">
        <v>1335</v>
      </c>
    </row>
    <row r="84" spans="1:13" x14ac:dyDescent="0.25">
      <c r="A84" s="7"/>
      <c r="B84" s="7"/>
      <c r="C84" s="107" t="s">
        <v>1327</v>
      </c>
      <c r="D84" s="7" t="s">
        <v>1331</v>
      </c>
      <c r="E84" s="7"/>
      <c r="F84" s="7" t="s">
        <v>1334</v>
      </c>
      <c r="G84" s="108" t="s">
        <v>332</v>
      </c>
      <c r="H84" s="72" t="s">
        <v>1335</v>
      </c>
    </row>
    <row r="85" spans="1:13" x14ac:dyDescent="0.25">
      <c r="A85" s="7"/>
      <c r="B85" s="7"/>
      <c r="C85" s="107" t="s">
        <v>1327</v>
      </c>
      <c r="D85" s="7" t="s">
        <v>1329</v>
      </c>
      <c r="E85" s="7"/>
      <c r="F85" s="7" t="s">
        <v>1329</v>
      </c>
      <c r="G85" s="107" t="s">
        <v>614</v>
      </c>
      <c r="H85" s="72" t="s">
        <v>1333</v>
      </c>
      <c r="J85" t="s">
        <v>1344</v>
      </c>
    </row>
    <row r="86" spans="1:13" x14ac:dyDescent="0.25">
      <c r="A86" s="7"/>
      <c r="B86" s="7"/>
      <c r="C86" s="107" t="s">
        <v>1327</v>
      </c>
      <c r="D86" s="7" t="s">
        <v>1330</v>
      </c>
      <c r="E86" s="7"/>
      <c r="F86" s="7" t="s">
        <v>1330</v>
      </c>
      <c r="G86" s="107" t="s">
        <v>1080</v>
      </c>
      <c r="J86" t="s">
        <v>1344</v>
      </c>
    </row>
    <row r="87" spans="1:13" x14ac:dyDescent="0.25">
      <c r="A87" s="7"/>
      <c r="B87" s="7"/>
      <c r="C87" s="107" t="s">
        <v>1327</v>
      </c>
      <c r="D87" s="7" t="s">
        <v>1103</v>
      </c>
      <c r="E87" s="7"/>
      <c r="F87" s="7" t="s">
        <v>1103</v>
      </c>
      <c r="G87" s="107" t="s">
        <v>1099</v>
      </c>
      <c r="J87" t="s">
        <v>1344</v>
      </c>
    </row>
    <row r="88" spans="1:13" x14ac:dyDescent="0.25">
      <c r="A88" s="7"/>
      <c r="B88" s="7"/>
      <c r="C88" s="107" t="s">
        <v>1327</v>
      </c>
      <c r="D88" s="7" t="s">
        <v>368</v>
      </c>
      <c r="E88" s="7"/>
      <c r="F88" s="7" t="s">
        <v>368</v>
      </c>
      <c r="G88" s="107" t="s">
        <v>608</v>
      </c>
      <c r="J88" t="s">
        <v>1344</v>
      </c>
    </row>
    <row r="89" spans="1:13" x14ac:dyDescent="0.25">
      <c r="A89" s="7"/>
      <c r="B89" s="7"/>
      <c r="C89" s="107" t="s">
        <v>1327</v>
      </c>
      <c r="D89" s="7" t="s">
        <v>1020</v>
      </c>
      <c r="E89" s="7"/>
      <c r="F89" s="7" t="s">
        <v>1020</v>
      </c>
      <c r="G89" s="107" t="s">
        <v>1332</v>
      </c>
      <c r="J89" t="s">
        <v>1344</v>
      </c>
    </row>
    <row r="90" spans="1:13" x14ac:dyDescent="0.25">
      <c r="C90" s="107" t="s">
        <v>1327</v>
      </c>
      <c r="D90" t="s">
        <v>1349</v>
      </c>
      <c r="F90" s="66"/>
      <c r="G90" s="104" t="s">
        <v>1351</v>
      </c>
      <c r="H90" s="110" t="s">
        <v>1350</v>
      </c>
      <c r="I90" s="120"/>
    </row>
    <row r="91" spans="1:13" x14ac:dyDescent="0.25">
      <c r="C91" s="7" t="s">
        <v>1317</v>
      </c>
      <c r="D91" t="s">
        <v>1354</v>
      </c>
      <c r="F91" s="66"/>
      <c r="G91" t="s">
        <v>1356</v>
      </c>
      <c r="H91" s="110" t="s">
        <v>1355</v>
      </c>
      <c r="I91" s="120" t="s">
        <v>1357</v>
      </c>
      <c r="K91" s="115">
        <v>44635</v>
      </c>
      <c r="L91" s="121">
        <v>44635</v>
      </c>
      <c r="M91" t="s">
        <v>1368</v>
      </c>
    </row>
    <row r="92" spans="1:13" x14ac:dyDescent="0.25">
      <c r="E92" t="s">
        <v>1361</v>
      </c>
      <c r="F92" t="s">
        <v>1359</v>
      </c>
      <c r="G92" s="104" t="s">
        <v>1359</v>
      </c>
      <c r="K92" s="115">
        <v>44636</v>
      </c>
      <c r="L92" s="121">
        <v>44636</v>
      </c>
    </row>
    <row r="93" spans="1:13" x14ac:dyDescent="0.25">
      <c r="E93" t="s">
        <v>1361</v>
      </c>
      <c r="F93" t="s">
        <v>1360</v>
      </c>
      <c r="G93" s="105" t="s">
        <v>1365</v>
      </c>
      <c r="K93" s="115">
        <v>44636</v>
      </c>
      <c r="L93" s="121">
        <v>44636</v>
      </c>
    </row>
    <row r="94" spans="1:13" x14ac:dyDescent="0.25">
      <c r="E94" t="s">
        <v>1366</v>
      </c>
      <c r="F94" t="s">
        <v>1351</v>
      </c>
      <c r="G94" s="104" t="s">
        <v>1351</v>
      </c>
    </row>
    <row r="95" spans="1:13" x14ac:dyDescent="0.25">
      <c r="E95" t="s">
        <v>1366</v>
      </c>
      <c r="F95" t="s">
        <v>1367</v>
      </c>
      <c r="G95" s="105" t="s">
        <v>1369</v>
      </c>
    </row>
  </sheetData>
  <autoFilter ref="A2:V95" xr:uid="{BC32535B-523C-4B61-823C-191783547D69}"/>
  <pageMargins left="0.7" right="0.7" top="0.75" bottom="0.75"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C3A36-E19A-411E-BEAA-A78331C589D0}">
  <sheetPr filterMode="1"/>
  <dimension ref="B2:F130"/>
  <sheetViews>
    <sheetView topLeftCell="A91" zoomScale="115" zoomScaleNormal="115" workbookViewId="0">
      <selection activeCell="I120" sqref="I120"/>
    </sheetView>
  </sheetViews>
  <sheetFormatPr defaultColWidth="8.42578125" defaultRowHeight="15" x14ac:dyDescent="0.25"/>
  <cols>
    <col min="2" max="2" width="28" customWidth="1"/>
    <col min="3" max="3" width="16.42578125" customWidth="1"/>
    <col min="4" max="4" width="15.42578125" customWidth="1"/>
    <col min="5" max="5" width="23" customWidth="1"/>
    <col min="6" max="6" width="50.42578125" customWidth="1"/>
  </cols>
  <sheetData>
    <row r="2" spans="2:6" x14ac:dyDescent="0.25">
      <c r="B2" t="s">
        <v>479</v>
      </c>
    </row>
    <row r="3" spans="2:6" ht="28.5" x14ac:dyDescent="0.25">
      <c r="B3" s="2" t="s">
        <v>40</v>
      </c>
      <c r="C3" s="2" t="s">
        <v>41</v>
      </c>
      <c r="D3" s="2" t="s">
        <v>42</v>
      </c>
      <c r="E3" s="17" t="s">
        <v>456</v>
      </c>
      <c r="F3" s="2" t="s">
        <v>43</v>
      </c>
    </row>
    <row r="4" spans="2:6" ht="25.5" hidden="1" customHeight="1" x14ac:dyDescent="0.25">
      <c r="B4" s="3" t="s">
        <v>22</v>
      </c>
      <c r="C4" s="3" t="s">
        <v>157</v>
      </c>
      <c r="D4" s="3">
        <v>67891</v>
      </c>
      <c r="E4" s="7"/>
      <c r="F4" s="3" t="s">
        <v>158</v>
      </c>
    </row>
    <row r="5" spans="2:6" ht="45" hidden="1" x14ac:dyDescent="0.25">
      <c r="B5" s="3" t="s">
        <v>159</v>
      </c>
      <c r="C5" s="3" t="s">
        <v>157</v>
      </c>
      <c r="D5" s="3">
        <v>98</v>
      </c>
      <c r="E5" s="7"/>
      <c r="F5" s="3" t="s">
        <v>324</v>
      </c>
    </row>
    <row r="6" spans="2:6" hidden="1" x14ac:dyDescent="0.25">
      <c r="B6" s="3" t="s">
        <v>2</v>
      </c>
      <c r="C6" s="3" t="s">
        <v>157</v>
      </c>
      <c r="D6" s="3">
        <v>4</v>
      </c>
      <c r="E6" s="7"/>
      <c r="F6" s="3" t="s">
        <v>160</v>
      </c>
    </row>
    <row r="7" spans="2:6" hidden="1" x14ac:dyDescent="0.25">
      <c r="B7" s="3" t="s">
        <v>161</v>
      </c>
      <c r="C7" s="3" t="s">
        <v>162</v>
      </c>
      <c r="D7" s="3" t="s">
        <v>50</v>
      </c>
      <c r="E7" s="7"/>
      <c r="F7" s="3"/>
    </row>
    <row r="8" spans="2:6" hidden="1" x14ac:dyDescent="0.25">
      <c r="B8" s="3" t="s">
        <v>163</v>
      </c>
      <c r="C8" s="3" t="s">
        <v>164</v>
      </c>
      <c r="D8" s="3" t="s">
        <v>165</v>
      </c>
      <c r="E8" s="7"/>
      <c r="F8" s="3"/>
    </row>
    <row r="9" spans="2:6" hidden="1" x14ac:dyDescent="0.25">
      <c r="B9" s="3" t="s">
        <v>166</v>
      </c>
      <c r="C9" s="3" t="s">
        <v>162</v>
      </c>
      <c r="D9" s="3" t="s">
        <v>50</v>
      </c>
      <c r="E9" s="7"/>
      <c r="F9" s="3"/>
    </row>
    <row r="10" spans="2:6" hidden="1" x14ac:dyDescent="0.25">
      <c r="B10" s="3" t="s">
        <v>167</v>
      </c>
      <c r="C10" s="3" t="s">
        <v>164</v>
      </c>
      <c r="D10" s="3" t="s">
        <v>165</v>
      </c>
      <c r="E10" s="7"/>
      <c r="F10" s="3"/>
    </row>
    <row r="11" spans="2:6" ht="29.85" hidden="1" customHeight="1" x14ac:dyDescent="0.25">
      <c r="B11" s="3" t="s">
        <v>168</v>
      </c>
      <c r="C11" s="3" t="s">
        <v>157</v>
      </c>
      <c r="D11" s="3"/>
      <c r="E11" s="7"/>
      <c r="F11" s="3"/>
    </row>
    <row r="12" spans="2:6" hidden="1" x14ac:dyDescent="0.25">
      <c r="B12" s="3" t="s">
        <v>169</v>
      </c>
      <c r="C12" s="3" t="s">
        <v>164</v>
      </c>
      <c r="D12" s="6">
        <v>0.5</v>
      </c>
      <c r="E12" s="7"/>
      <c r="F12" s="3"/>
    </row>
    <row r="13" spans="2:6" hidden="1" x14ac:dyDescent="0.25">
      <c r="B13" s="3" t="s">
        <v>170</v>
      </c>
      <c r="C13" s="3" t="s">
        <v>164</v>
      </c>
      <c r="D13" s="6">
        <v>0.54166666666666663</v>
      </c>
      <c r="E13" s="7"/>
      <c r="F13" s="3"/>
    </row>
    <row r="14" spans="2:6" hidden="1" x14ac:dyDescent="0.25">
      <c r="B14" s="3" t="s">
        <v>171</v>
      </c>
      <c r="C14" s="3" t="s">
        <v>164</v>
      </c>
      <c r="D14" s="6">
        <v>0</v>
      </c>
      <c r="E14" s="7"/>
      <c r="F14" s="3"/>
    </row>
    <row r="15" spans="2:6" hidden="1" x14ac:dyDescent="0.25">
      <c r="B15" s="3" t="s">
        <v>172</v>
      </c>
      <c r="C15" s="3" t="s">
        <v>164</v>
      </c>
      <c r="D15" s="6">
        <v>0</v>
      </c>
      <c r="E15" s="7"/>
      <c r="F15" s="3"/>
    </row>
    <row r="16" spans="2:6" hidden="1" x14ac:dyDescent="0.25">
      <c r="B16" s="3" t="s">
        <v>173</v>
      </c>
      <c r="C16" s="3" t="s">
        <v>164</v>
      </c>
      <c r="D16" s="6">
        <v>0</v>
      </c>
      <c r="E16" s="7"/>
      <c r="F16" s="3"/>
    </row>
    <row r="17" spans="2:6" hidden="1" x14ac:dyDescent="0.25">
      <c r="B17" s="3" t="s">
        <v>174</v>
      </c>
      <c r="C17" s="3" t="s">
        <v>164</v>
      </c>
      <c r="D17" s="6">
        <v>0</v>
      </c>
      <c r="E17" s="7"/>
      <c r="F17" s="3"/>
    </row>
    <row r="18" spans="2:6" hidden="1" x14ac:dyDescent="0.25">
      <c r="B18" s="3" t="s">
        <v>175</v>
      </c>
      <c r="C18" s="3" t="s">
        <v>164</v>
      </c>
      <c r="D18" s="6">
        <v>0</v>
      </c>
      <c r="E18" s="7"/>
      <c r="F18" s="3"/>
    </row>
    <row r="19" spans="2:6" hidden="1" x14ac:dyDescent="0.25">
      <c r="B19" s="3" t="s">
        <v>176</v>
      </c>
      <c r="C19" s="3" t="s">
        <v>164</v>
      </c>
      <c r="D19" s="6">
        <v>0</v>
      </c>
      <c r="E19" s="7"/>
      <c r="F19" s="3"/>
    </row>
    <row r="20" spans="2:6" ht="22.5" hidden="1" x14ac:dyDescent="0.25">
      <c r="B20" s="3" t="s">
        <v>177</v>
      </c>
      <c r="C20" s="3" t="s">
        <v>157</v>
      </c>
      <c r="D20" s="3">
        <v>3</v>
      </c>
      <c r="E20" s="7"/>
      <c r="F20" s="3" t="s">
        <v>178</v>
      </c>
    </row>
    <row r="21" spans="2:6" hidden="1" x14ac:dyDescent="0.25">
      <c r="B21" s="3" t="s">
        <v>3</v>
      </c>
      <c r="C21" s="3" t="s">
        <v>179</v>
      </c>
      <c r="D21" s="3"/>
      <c r="E21" s="7"/>
      <c r="F21" s="3"/>
    </row>
    <row r="22" spans="2:6" hidden="1" x14ac:dyDescent="0.25">
      <c r="B22" s="3" t="s">
        <v>180</v>
      </c>
      <c r="C22" s="3" t="s">
        <v>157</v>
      </c>
      <c r="D22" s="3">
        <v>1</v>
      </c>
      <c r="E22" s="7"/>
      <c r="F22" s="3" t="s">
        <v>181</v>
      </c>
    </row>
    <row r="23" spans="2:6" hidden="1" x14ac:dyDescent="0.25">
      <c r="B23" s="3" t="s">
        <v>182</v>
      </c>
      <c r="C23" s="3" t="s">
        <v>157</v>
      </c>
      <c r="D23" s="3"/>
      <c r="E23" s="7"/>
      <c r="F23" s="3"/>
    </row>
    <row r="24" spans="2:6" hidden="1" x14ac:dyDescent="0.25">
      <c r="B24" s="3" t="s">
        <v>183</v>
      </c>
      <c r="C24" s="3" t="s">
        <v>157</v>
      </c>
      <c r="D24" s="3"/>
      <c r="E24" s="7"/>
      <c r="F24" s="3"/>
    </row>
    <row r="25" spans="2:6" hidden="1" x14ac:dyDescent="0.25">
      <c r="B25" s="3" t="s">
        <v>184</v>
      </c>
      <c r="C25" s="3" t="s">
        <v>157</v>
      </c>
      <c r="D25" s="3"/>
      <c r="E25" s="7"/>
      <c r="F25" s="3"/>
    </row>
    <row r="26" spans="2:6" hidden="1" x14ac:dyDescent="0.25">
      <c r="B26" s="3" t="s">
        <v>69</v>
      </c>
      <c r="C26" s="3" t="s">
        <v>157</v>
      </c>
      <c r="D26" s="3"/>
      <c r="E26" s="7"/>
      <c r="F26" s="3"/>
    </row>
    <row r="27" spans="2:6" hidden="1" x14ac:dyDescent="0.25">
      <c r="B27" s="3" t="s">
        <v>185</v>
      </c>
      <c r="C27" s="3" t="s">
        <v>157</v>
      </c>
      <c r="D27" s="3"/>
      <c r="E27" s="7"/>
      <c r="F27" s="3"/>
    </row>
    <row r="28" spans="2:6" hidden="1" x14ac:dyDescent="0.25">
      <c r="B28" s="3" t="s">
        <v>186</v>
      </c>
      <c r="C28" s="3" t="s">
        <v>179</v>
      </c>
      <c r="D28" s="3"/>
      <c r="E28" s="7"/>
      <c r="F28" s="3"/>
    </row>
    <row r="29" spans="2:6" hidden="1" x14ac:dyDescent="0.25">
      <c r="B29" s="3" t="s">
        <v>27</v>
      </c>
      <c r="C29" s="3" t="s">
        <v>179</v>
      </c>
      <c r="D29" s="3"/>
      <c r="E29" s="7"/>
      <c r="F29" s="3"/>
    </row>
    <row r="30" spans="2:6" hidden="1" x14ac:dyDescent="0.25">
      <c r="B30" s="3" t="s">
        <v>52</v>
      </c>
      <c r="C30" s="3" t="s">
        <v>157</v>
      </c>
      <c r="D30" s="3"/>
      <c r="E30" s="7"/>
      <c r="F30" s="3" t="s">
        <v>187</v>
      </c>
    </row>
    <row r="31" spans="2:6" hidden="1" x14ac:dyDescent="0.25">
      <c r="B31" s="3" t="s">
        <v>53</v>
      </c>
      <c r="C31" s="3" t="s">
        <v>179</v>
      </c>
      <c r="D31" s="3"/>
      <c r="E31" s="7"/>
      <c r="F31" s="3"/>
    </row>
    <row r="32" spans="2:6" hidden="1" x14ac:dyDescent="0.25">
      <c r="B32" s="3" t="s">
        <v>10</v>
      </c>
      <c r="C32" s="3" t="s">
        <v>188</v>
      </c>
      <c r="D32" s="3" t="s">
        <v>253</v>
      </c>
      <c r="E32" s="7"/>
      <c r="F32" s="3"/>
    </row>
    <row r="33" spans="2:6" hidden="1" x14ac:dyDescent="0.25">
      <c r="B33" s="3" t="s">
        <v>189</v>
      </c>
      <c r="C33" s="3" t="s">
        <v>157</v>
      </c>
      <c r="D33" s="3"/>
      <c r="E33" s="7"/>
      <c r="F33" s="3"/>
    </row>
    <row r="34" spans="2:6" hidden="1" x14ac:dyDescent="0.25">
      <c r="B34" s="3" t="s">
        <v>190</v>
      </c>
      <c r="C34" s="3" t="s">
        <v>157</v>
      </c>
      <c r="D34" s="3"/>
      <c r="E34" s="7"/>
      <c r="F34" s="3"/>
    </row>
    <row r="35" spans="2:6" hidden="1" x14ac:dyDescent="0.25">
      <c r="B35" s="3" t="s">
        <v>14</v>
      </c>
      <c r="C35" s="3" t="s">
        <v>157</v>
      </c>
      <c r="D35" s="3"/>
      <c r="E35" s="7"/>
      <c r="F35" s="3"/>
    </row>
    <row r="36" spans="2:6" hidden="1" x14ac:dyDescent="0.25">
      <c r="B36" s="3" t="s">
        <v>16</v>
      </c>
      <c r="C36" s="3" t="s">
        <v>157</v>
      </c>
      <c r="D36" s="3"/>
      <c r="E36" s="7"/>
      <c r="F36" s="3"/>
    </row>
    <row r="37" spans="2:6" hidden="1" x14ac:dyDescent="0.25">
      <c r="B37" s="3" t="s">
        <v>15</v>
      </c>
      <c r="C37" s="3" t="s">
        <v>157</v>
      </c>
      <c r="D37" s="3"/>
      <c r="E37" s="7"/>
      <c r="F37" s="3"/>
    </row>
    <row r="38" spans="2:6" hidden="1" x14ac:dyDescent="0.25">
      <c r="B38" s="3" t="s">
        <v>191</v>
      </c>
      <c r="C38" s="3" t="s">
        <v>179</v>
      </c>
      <c r="D38" s="3"/>
      <c r="E38" s="7"/>
      <c r="F38" s="3"/>
    </row>
    <row r="39" spans="2:6" hidden="1" x14ac:dyDescent="0.25">
      <c r="B39" s="3" t="s">
        <v>192</v>
      </c>
      <c r="C39" s="3" t="s">
        <v>179</v>
      </c>
      <c r="D39" s="3"/>
      <c r="E39" s="7"/>
      <c r="F39" s="3"/>
    </row>
    <row r="40" spans="2:6" hidden="1" x14ac:dyDescent="0.25">
      <c r="B40" s="3" t="s">
        <v>55</v>
      </c>
      <c r="C40" s="3" t="s">
        <v>179</v>
      </c>
      <c r="D40" s="3"/>
      <c r="E40" s="7"/>
      <c r="F40" s="3"/>
    </row>
    <row r="41" spans="2:6" hidden="1" x14ac:dyDescent="0.25">
      <c r="B41" s="3" t="s">
        <v>193</v>
      </c>
      <c r="C41" s="3" t="s">
        <v>179</v>
      </c>
      <c r="D41" s="3"/>
      <c r="E41" s="7"/>
      <c r="F41" s="3"/>
    </row>
    <row r="42" spans="2:6" hidden="1" x14ac:dyDescent="0.25">
      <c r="B42" s="3" t="s">
        <v>17</v>
      </c>
      <c r="C42" s="3" t="s">
        <v>179</v>
      </c>
      <c r="D42" s="3"/>
      <c r="E42" s="7"/>
      <c r="F42" s="3"/>
    </row>
    <row r="43" spans="2:6" hidden="1" x14ac:dyDescent="0.25">
      <c r="B43" s="3" t="s">
        <v>18</v>
      </c>
      <c r="C43" s="3" t="s">
        <v>179</v>
      </c>
      <c r="D43" s="3"/>
      <c r="E43" s="7"/>
      <c r="F43" s="3"/>
    </row>
    <row r="44" spans="2:6" hidden="1" x14ac:dyDescent="0.25">
      <c r="B44" s="3" t="s">
        <v>19</v>
      </c>
      <c r="C44" s="3" t="s">
        <v>179</v>
      </c>
      <c r="D44" s="3"/>
      <c r="E44" s="7"/>
      <c r="F44" s="3"/>
    </row>
    <row r="45" spans="2:6" hidden="1" x14ac:dyDescent="0.25">
      <c r="B45" s="3" t="s">
        <v>20</v>
      </c>
      <c r="C45" s="3" t="s">
        <v>179</v>
      </c>
      <c r="D45" s="3"/>
      <c r="E45" s="7"/>
      <c r="F45" s="3"/>
    </row>
    <row r="46" spans="2:6" hidden="1" x14ac:dyDescent="0.25">
      <c r="B46" s="3" t="s">
        <v>21</v>
      </c>
      <c r="C46" s="3" t="s">
        <v>179</v>
      </c>
      <c r="D46" s="3"/>
      <c r="E46" s="7"/>
      <c r="F46" s="3"/>
    </row>
    <row r="47" spans="2:6" hidden="1" x14ac:dyDescent="0.25">
      <c r="B47" s="3" t="s">
        <v>194</v>
      </c>
      <c r="C47" s="3" t="s">
        <v>162</v>
      </c>
      <c r="D47" s="3"/>
      <c r="E47" s="7"/>
      <c r="F47" s="3"/>
    </row>
    <row r="48" spans="2:6" hidden="1" x14ac:dyDescent="0.25">
      <c r="B48" s="3" t="s">
        <v>195</v>
      </c>
      <c r="C48" s="3" t="s">
        <v>157</v>
      </c>
      <c r="D48" s="3"/>
      <c r="E48" s="7"/>
      <c r="F48" s="3"/>
    </row>
    <row r="49" spans="2:6" hidden="1" x14ac:dyDescent="0.25">
      <c r="B49" s="3" t="s">
        <v>196</v>
      </c>
      <c r="C49" s="3" t="s">
        <v>157</v>
      </c>
      <c r="D49" s="3"/>
      <c r="E49" s="7"/>
      <c r="F49" s="3"/>
    </row>
    <row r="50" spans="2:6" hidden="1" x14ac:dyDescent="0.25">
      <c r="B50" s="3" t="s">
        <v>197</v>
      </c>
      <c r="C50" s="3" t="s">
        <v>188</v>
      </c>
      <c r="D50" s="3"/>
      <c r="E50" s="7"/>
      <c r="F50" s="3"/>
    </row>
    <row r="51" spans="2:6" ht="29.85" hidden="1" customHeight="1" x14ac:dyDescent="0.25">
      <c r="B51" s="3" t="s">
        <v>198</v>
      </c>
      <c r="C51" s="3" t="s">
        <v>157</v>
      </c>
      <c r="D51" s="3"/>
      <c r="E51" s="7"/>
      <c r="F51" s="3"/>
    </row>
    <row r="52" spans="2:6" ht="45" hidden="1" x14ac:dyDescent="0.25">
      <c r="B52" s="3" t="s">
        <v>199</v>
      </c>
      <c r="C52" s="3" t="s">
        <v>157</v>
      </c>
      <c r="D52" s="3"/>
      <c r="E52" s="7"/>
      <c r="F52" s="3" t="s">
        <v>200</v>
      </c>
    </row>
    <row r="53" spans="2:6" ht="33.75" hidden="1" x14ac:dyDescent="0.25">
      <c r="B53" s="3" t="s">
        <v>34</v>
      </c>
      <c r="C53" s="3" t="s">
        <v>201</v>
      </c>
      <c r="D53" s="3" t="s">
        <v>202</v>
      </c>
      <c r="E53" s="7"/>
      <c r="F53" s="3" t="s">
        <v>203</v>
      </c>
    </row>
    <row r="54" spans="2:6" ht="25.5" hidden="1" customHeight="1" x14ac:dyDescent="0.25">
      <c r="B54" s="3" t="s">
        <v>22</v>
      </c>
      <c r="C54" s="3" t="s">
        <v>157</v>
      </c>
      <c r="D54" s="3"/>
      <c r="E54" s="7"/>
      <c r="F54" s="3" t="s">
        <v>204</v>
      </c>
    </row>
    <row r="55" spans="2:6" x14ac:dyDescent="0.25">
      <c r="B55" s="3" t="s">
        <v>205</v>
      </c>
      <c r="C55" s="3" t="s">
        <v>157</v>
      </c>
      <c r="D55" s="3"/>
      <c r="E55" s="7"/>
      <c r="F55" s="3" t="s">
        <v>206</v>
      </c>
    </row>
    <row r="56" spans="2:6" ht="39.75" hidden="1" customHeight="1" x14ac:dyDescent="0.25">
      <c r="B56" s="3" t="s">
        <v>159</v>
      </c>
      <c r="C56" s="3" t="s">
        <v>157</v>
      </c>
      <c r="D56" s="3"/>
      <c r="E56" s="7"/>
      <c r="F56" s="3" t="s">
        <v>207</v>
      </c>
    </row>
    <row r="57" spans="2:6" hidden="1" x14ac:dyDescent="0.25">
      <c r="B57" s="3" t="s">
        <v>208</v>
      </c>
      <c r="C57" s="3" t="s">
        <v>157</v>
      </c>
      <c r="D57" s="3"/>
      <c r="E57" s="7"/>
      <c r="F57" s="3"/>
    </row>
    <row r="58" spans="2:6" hidden="1" x14ac:dyDescent="0.25">
      <c r="B58" s="3" t="s">
        <v>209</v>
      </c>
      <c r="C58" s="3" t="s">
        <v>157</v>
      </c>
      <c r="D58" s="3"/>
      <c r="E58" s="7"/>
      <c r="F58" s="3"/>
    </row>
    <row r="59" spans="2:6" hidden="1" x14ac:dyDescent="0.25">
      <c r="B59" s="3" t="s">
        <v>210</v>
      </c>
      <c r="C59" s="3" t="s">
        <v>106</v>
      </c>
      <c r="D59" s="3" t="s">
        <v>211</v>
      </c>
      <c r="E59" s="7"/>
      <c r="F59" s="3" t="s">
        <v>212</v>
      </c>
    </row>
    <row r="60" spans="2:6" hidden="1" x14ac:dyDescent="0.25">
      <c r="B60" s="251" t="s">
        <v>25</v>
      </c>
      <c r="C60" s="251" t="s">
        <v>106</v>
      </c>
      <c r="D60" s="251" t="s">
        <v>211</v>
      </c>
      <c r="E60" s="7"/>
      <c r="F60" s="251" t="s">
        <v>213</v>
      </c>
    </row>
    <row r="61" spans="2:6" hidden="1" x14ac:dyDescent="0.25">
      <c r="B61" s="251"/>
      <c r="C61" s="251"/>
      <c r="D61" s="251"/>
      <c r="E61" s="7"/>
      <c r="F61" s="251"/>
    </row>
    <row r="62" spans="2:6" hidden="1" x14ac:dyDescent="0.25">
      <c r="B62" s="251"/>
      <c r="C62" s="251"/>
      <c r="D62" s="251"/>
      <c r="E62" s="7"/>
      <c r="F62" s="251"/>
    </row>
    <row r="63" spans="2:6" ht="33.75" hidden="1" x14ac:dyDescent="0.25">
      <c r="B63" s="3" t="s">
        <v>214</v>
      </c>
      <c r="C63" s="3" t="s">
        <v>179</v>
      </c>
      <c r="D63" s="3"/>
      <c r="E63" s="7"/>
      <c r="F63" s="3" t="s">
        <v>215</v>
      </c>
    </row>
    <row r="64" spans="2:6" ht="22.5" hidden="1" x14ac:dyDescent="0.25">
      <c r="B64" s="3" t="s">
        <v>216</v>
      </c>
      <c r="C64" s="3" t="s">
        <v>188</v>
      </c>
      <c r="D64" s="3" t="s">
        <v>217</v>
      </c>
      <c r="E64" s="7"/>
      <c r="F64" s="3" t="s">
        <v>218</v>
      </c>
    </row>
    <row r="65" spans="2:6" ht="33.75" hidden="1" x14ac:dyDescent="0.25">
      <c r="B65" s="3" t="s">
        <v>219</v>
      </c>
      <c r="C65" s="3" t="s">
        <v>188</v>
      </c>
      <c r="D65" s="3"/>
      <c r="E65" s="7"/>
      <c r="F65" s="3" t="s">
        <v>325</v>
      </c>
    </row>
    <row r="66" spans="2:6" ht="22.5" hidden="1" x14ac:dyDescent="0.25">
      <c r="B66" s="3" t="s">
        <v>221</v>
      </c>
      <c r="C66" s="3" t="s">
        <v>188</v>
      </c>
      <c r="D66" s="3"/>
      <c r="E66" s="7"/>
      <c r="F66" s="3" t="s">
        <v>218</v>
      </c>
    </row>
    <row r="67" spans="2:6" ht="22.5" hidden="1" x14ac:dyDescent="0.25">
      <c r="B67" s="251" t="s">
        <v>222</v>
      </c>
      <c r="C67" s="251" t="s">
        <v>188</v>
      </c>
      <c r="D67" s="251"/>
      <c r="E67" s="7"/>
      <c r="F67" s="3" t="s">
        <v>220</v>
      </c>
    </row>
    <row r="68" spans="2:6" hidden="1" x14ac:dyDescent="0.25">
      <c r="B68" s="251"/>
      <c r="C68" s="251"/>
      <c r="D68" s="251"/>
      <c r="E68" s="7"/>
      <c r="F68" s="3" t="s">
        <v>223</v>
      </c>
    </row>
    <row r="69" spans="2:6" ht="22.5" hidden="1" x14ac:dyDescent="0.25">
      <c r="B69" s="251" t="s">
        <v>224</v>
      </c>
      <c r="C69" s="251" t="s">
        <v>188</v>
      </c>
      <c r="D69" s="251"/>
      <c r="E69" s="7"/>
      <c r="F69" s="3" t="s">
        <v>225</v>
      </c>
    </row>
    <row r="70" spans="2:6" ht="22.5" hidden="1" x14ac:dyDescent="0.25">
      <c r="B70" s="251"/>
      <c r="C70" s="251"/>
      <c r="D70" s="251"/>
      <c r="E70" s="7"/>
      <c r="F70" s="3" t="s">
        <v>226</v>
      </c>
    </row>
    <row r="71" spans="2:6" ht="42" hidden="1" customHeight="1" x14ac:dyDescent="0.25">
      <c r="B71" s="3" t="s">
        <v>227</v>
      </c>
      <c r="C71" s="3" t="s">
        <v>228</v>
      </c>
      <c r="D71" s="3"/>
      <c r="E71" s="7"/>
      <c r="F71" s="3" t="s">
        <v>229</v>
      </c>
    </row>
    <row r="72" spans="2:6" ht="22.5" hidden="1" x14ac:dyDescent="0.25">
      <c r="B72" s="3" t="s">
        <v>230</v>
      </c>
      <c r="C72" s="3" t="s">
        <v>157</v>
      </c>
      <c r="D72" s="3"/>
      <c r="E72" s="7"/>
      <c r="F72" s="3" t="s">
        <v>231</v>
      </c>
    </row>
    <row r="73" spans="2:6" ht="22.5" hidden="1" x14ac:dyDescent="0.25">
      <c r="B73" s="3" t="s">
        <v>232</v>
      </c>
      <c r="C73" s="3" t="s">
        <v>45</v>
      </c>
      <c r="D73" s="3"/>
      <c r="E73" s="7"/>
      <c r="F73" s="3" t="s">
        <v>233</v>
      </c>
    </row>
    <row r="74" spans="2:6" x14ac:dyDescent="0.25">
      <c r="B74" s="3" t="s">
        <v>234</v>
      </c>
      <c r="C74" s="3" t="s">
        <v>106</v>
      </c>
      <c r="D74" s="3"/>
      <c r="E74" s="7"/>
      <c r="F74" s="3" t="s">
        <v>235</v>
      </c>
    </row>
    <row r="75" spans="2:6" x14ac:dyDescent="0.25">
      <c r="B75" s="3" t="s">
        <v>236</v>
      </c>
      <c r="C75" s="3" t="s">
        <v>106</v>
      </c>
      <c r="D75" s="3"/>
      <c r="E75" s="7"/>
      <c r="F75" s="3" t="s">
        <v>235</v>
      </c>
    </row>
    <row r="76" spans="2:6" hidden="1" x14ac:dyDescent="0.25">
      <c r="B76" s="3" t="s">
        <v>237</v>
      </c>
      <c r="C76" s="3" t="s">
        <v>45</v>
      </c>
      <c r="D76" s="3"/>
      <c r="E76" s="7"/>
      <c r="F76" s="3"/>
    </row>
    <row r="77" spans="2:6" ht="39" hidden="1" customHeight="1" x14ac:dyDescent="0.25">
      <c r="B77" s="3" t="s">
        <v>238</v>
      </c>
      <c r="C77" s="3" t="s">
        <v>239</v>
      </c>
      <c r="D77" s="3"/>
      <c r="E77" s="7"/>
      <c r="F77" s="3" t="s">
        <v>240</v>
      </c>
    </row>
    <row r="78" spans="2:6" ht="33.75" hidden="1" x14ac:dyDescent="0.25">
      <c r="B78" s="3" t="s">
        <v>241</v>
      </c>
      <c r="C78" s="3" t="s">
        <v>242</v>
      </c>
      <c r="D78" s="3"/>
      <c r="E78" s="7"/>
      <c r="F78" s="3" t="s">
        <v>243</v>
      </c>
    </row>
    <row r="79" spans="2:6" hidden="1" x14ac:dyDescent="0.25">
      <c r="B79" s="252" t="s">
        <v>343</v>
      </c>
      <c r="C79" s="251" t="s">
        <v>157</v>
      </c>
      <c r="D79" s="251"/>
      <c r="E79" s="7"/>
      <c r="F79" s="251" t="s">
        <v>344</v>
      </c>
    </row>
    <row r="80" spans="2:6" hidden="1" x14ac:dyDescent="0.25">
      <c r="B80" s="252"/>
      <c r="C80" s="251"/>
      <c r="D80" s="251"/>
      <c r="E80" s="7"/>
      <c r="F80" s="251"/>
    </row>
    <row r="81" spans="2:6" hidden="1" x14ac:dyDescent="0.25">
      <c r="B81" s="252"/>
      <c r="C81" s="251"/>
      <c r="D81" s="251"/>
      <c r="E81" s="7"/>
      <c r="F81" s="251"/>
    </row>
    <row r="82" spans="2:6" x14ac:dyDescent="0.25">
      <c r="B82" s="18"/>
      <c r="C82" s="16"/>
      <c r="D82" s="16"/>
      <c r="F82" s="16"/>
    </row>
    <row r="85" spans="2:6" ht="18.75" thickBot="1" x14ac:dyDescent="0.3">
      <c r="B85" s="1" t="s">
        <v>712</v>
      </c>
    </row>
    <row r="86" spans="2:6" x14ac:dyDescent="0.25">
      <c r="B86" s="13" t="s">
        <v>40</v>
      </c>
      <c r="C86" s="26" t="s">
        <v>41</v>
      </c>
      <c r="D86" s="26" t="s">
        <v>43</v>
      </c>
    </row>
    <row r="87" spans="2:6" x14ac:dyDescent="0.25">
      <c r="B87" s="3" t="s">
        <v>0</v>
      </c>
      <c r="C87" s="3" t="s">
        <v>713</v>
      </c>
      <c r="D87" s="3" t="s">
        <v>714</v>
      </c>
    </row>
    <row r="88" spans="2:6" x14ac:dyDescent="0.25">
      <c r="B88" s="3" t="s">
        <v>185</v>
      </c>
      <c r="C88" s="3" t="s">
        <v>713</v>
      </c>
      <c r="D88" s="3" t="s">
        <v>715</v>
      </c>
    </row>
    <row r="89" spans="2:6" ht="22.5" x14ac:dyDescent="0.25">
      <c r="B89" s="3" t="s">
        <v>186</v>
      </c>
      <c r="C89" s="3" t="s">
        <v>179</v>
      </c>
      <c r="D89" s="3" t="s">
        <v>716</v>
      </c>
    </row>
    <row r="90" spans="2:6" x14ac:dyDescent="0.25">
      <c r="B90" s="3" t="s">
        <v>163</v>
      </c>
      <c r="C90" s="3" t="s">
        <v>179</v>
      </c>
      <c r="D90" s="3" t="s">
        <v>717</v>
      </c>
    </row>
    <row r="91" spans="2:6" x14ac:dyDescent="0.25">
      <c r="B91" s="3" t="s">
        <v>167</v>
      </c>
      <c r="C91" s="3" t="s">
        <v>179</v>
      </c>
      <c r="D91" s="3" t="s">
        <v>718</v>
      </c>
    </row>
    <row r="92" spans="2:6" x14ac:dyDescent="0.25">
      <c r="B92" s="3" t="s">
        <v>52</v>
      </c>
      <c r="C92" s="3" t="s">
        <v>713</v>
      </c>
      <c r="D92" s="3" t="s">
        <v>719</v>
      </c>
    </row>
    <row r="93" spans="2:6" x14ac:dyDescent="0.25">
      <c r="B93" s="3" t="s">
        <v>15</v>
      </c>
      <c r="C93" s="3" t="s">
        <v>713</v>
      </c>
      <c r="D93" s="3" t="s">
        <v>15</v>
      </c>
    </row>
    <row r="94" spans="2:6" x14ac:dyDescent="0.25">
      <c r="B94" s="3" t="s">
        <v>14</v>
      </c>
      <c r="C94" s="3" t="s">
        <v>713</v>
      </c>
      <c r="D94" s="3" t="s">
        <v>14</v>
      </c>
    </row>
    <row r="95" spans="2:6" ht="33.75" x14ac:dyDescent="0.25">
      <c r="B95" s="3" t="s">
        <v>241</v>
      </c>
      <c r="C95" s="3" t="s">
        <v>242</v>
      </c>
      <c r="D95" s="3" t="s">
        <v>243</v>
      </c>
    </row>
    <row r="96" spans="2:6" x14ac:dyDescent="0.25">
      <c r="B96" s="16"/>
      <c r="C96" s="16"/>
      <c r="D96" s="16"/>
    </row>
    <row r="97" spans="2:4" ht="18.75" thickBot="1" x14ac:dyDescent="0.3">
      <c r="B97" s="1" t="s">
        <v>720</v>
      </c>
    </row>
    <row r="98" spans="2:4" x14ac:dyDescent="0.25">
      <c r="B98" s="13" t="s">
        <v>40</v>
      </c>
      <c r="C98" s="26" t="s">
        <v>41</v>
      </c>
      <c r="D98" s="26" t="s">
        <v>43</v>
      </c>
    </row>
    <row r="99" spans="2:4" x14ac:dyDescent="0.25">
      <c r="B99" s="3" t="s">
        <v>317</v>
      </c>
      <c r="C99" s="3" t="s">
        <v>45</v>
      </c>
      <c r="D99" s="3"/>
    </row>
    <row r="100" spans="2:4" x14ac:dyDescent="0.25">
      <c r="B100" s="3" t="s">
        <v>318</v>
      </c>
      <c r="C100" s="3" t="s">
        <v>45</v>
      </c>
      <c r="D100" s="3"/>
    </row>
    <row r="101" spans="2:4" x14ac:dyDescent="0.25">
      <c r="B101" s="3" t="s">
        <v>319</v>
      </c>
      <c r="C101" s="3" t="s">
        <v>45</v>
      </c>
      <c r="D101" s="3"/>
    </row>
    <row r="102" spans="2:4" x14ac:dyDescent="0.25">
      <c r="B102" s="3" t="s">
        <v>320</v>
      </c>
      <c r="C102" s="3" t="s">
        <v>45</v>
      </c>
      <c r="D102" s="3"/>
    </row>
    <row r="103" spans="2:4" x14ac:dyDescent="0.25">
      <c r="B103" s="3" t="s">
        <v>321</v>
      </c>
      <c r="C103" s="3" t="s">
        <v>45</v>
      </c>
      <c r="D103" s="3"/>
    </row>
    <row r="104" spans="2:4" ht="22.5" x14ac:dyDescent="0.25">
      <c r="B104" s="3" t="s">
        <v>322</v>
      </c>
      <c r="C104" s="3" t="s">
        <v>721</v>
      </c>
      <c r="D104" s="3"/>
    </row>
    <row r="105" spans="2:4" x14ac:dyDescent="0.25">
      <c r="B105" s="16"/>
      <c r="C105" s="16"/>
      <c r="D105" s="16"/>
    </row>
    <row r="106" spans="2:4" ht="18.75" thickBot="1" x14ac:dyDescent="0.3">
      <c r="B106" s="1" t="s">
        <v>722</v>
      </c>
    </row>
    <row r="107" spans="2:4" x14ac:dyDescent="0.25">
      <c r="B107" s="13" t="s">
        <v>40</v>
      </c>
      <c r="C107" s="26" t="s">
        <v>41</v>
      </c>
      <c r="D107" s="26" t="s">
        <v>43</v>
      </c>
    </row>
    <row r="108" spans="2:4" x14ac:dyDescent="0.25">
      <c r="B108" s="3" t="s">
        <v>723</v>
      </c>
      <c r="C108" s="3" t="s">
        <v>45</v>
      </c>
      <c r="D108" s="3"/>
    </row>
    <row r="109" spans="2:4" x14ac:dyDescent="0.25">
      <c r="B109" s="3" t="s">
        <v>254</v>
      </c>
      <c r="C109" s="3" t="s">
        <v>45</v>
      </c>
      <c r="D109" s="3"/>
    </row>
    <row r="112" spans="2:4" x14ac:dyDescent="0.25">
      <c r="B112" t="s">
        <v>543</v>
      </c>
    </row>
    <row r="113" spans="2:6" ht="28.5" x14ac:dyDescent="0.25">
      <c r="B113" s="2" t="s">
        <v>40</v>
      </c>
      <c r="C113" s="2" t="s">
        <v>455</v>
      </c>
      <c r="D113" s="2" t="s">
        <v>41</v>
      </c>
      <c r="E113" s="2" t="s">
        <v>456</v>
      </c>
      <c r="F113" s="2" t="s">
        <v>43</v>
      </c>
    </row>
    <row r="114" spans="2:6" ht="22.5" x14ac:dyDescent="0.25">
      <c r="B114" s="3" t="s">
        <v>428</v>
      </c>
      <c r="C114" s="8" t="s">
        <v>249</v>
      </c>
      <c r="D114" s="3" t="s">
        <v>179</v>
      </c>
      <c r="E114" s="3"/>
      <c r="F114" s="3" t="s">
        <v>465</v>
      </c>
    </row>
    <row r="115" spans="2:6" ht="22.5" x14ac:dyDescent="0.25">
      <c r="B115" s="3" t="s">
        <v>29</v>
      </c>
      <c r="C115" s="3" t="s">
        <v>250</v>
      </c>
      <c r="D115" s="3" t="s">
        <v>157</v>
      </c>
      <c r="E115" s="3"/>
      <c r="F115" s="3" t="s">
        <v>466</v>
      </c>
    </row>
    <row r="116" spans="2:6" ht="22.5" x14ac:dyDescent="0.25">
      <c r="B116" s="3" t="s">
        <v>3</v>
      </c>
      <c r="C116" s="3" t="s">
        <v>250</v>
      </c>
      <c r="D116" s="3" t="s">
        <v>179</v>
      </c>
      <c r="E116" s="3"/>
      <c r="F116" s="3" t="s">
        <v>466</v>
      </c>
    </row>
    <row r="117" spans="2:6" ht="33.75" x14ac:dyDescent="0.25">
      <c r="B117" s="3" t="s">
        <v>52</v>
      </c>
      <c r="C117" s="3" t="s">
        <v>250</v>
      </c>
      <c r="D117" s="3" t="s">
        <v>179</v>
      </c>
      <c r="E117" s="3"/>
      <c r="F117" s="3" t="s">
        <v>468</v>
      </c>
    </row>
    <row r="118" spans="2:6" ht="22.5" x14ac:dyDescent="0.25">
      <c r="B118" s="3" t="s">
        <v>245</v>
      </c>
      <c r="C118" s="8" t="s">
        <v>249</v>
      </c>
      <c r="D118" s="3" t="s">
        <v>179</v>
      </c>
      <c r="E118" s="3"/>
      <c r="F118" s="3" t="s">
        <v>467</v>
      </c>
    </row>
    <row r="119" spans="2:6" ht="22.5" x14ac:dyDescent="0.25">
      <c r="B119" s="3" t="s">
        <v>251</v>
      </c>
      <c r="C119" s="3" t="s">
        <v>250</v>
      </c>
      <c r="D119" s="3" t="s">
        <v>179</v>
      </c>
      <c r="E119" s="6">
        <v>0</v>
      </c>
      <c r="F119" s="6" t="s">
        <v>469</v>
      </c>
    </row>
    <row r="120" spans="2:6" ht="22.5" x14ac:dyDescent="0.25">
      <c r="B120" s="3" t="s">
        <v>246</v>
      </c>
      <c r="C120" s="8" t="s">
        <v>249</v>
      </c>
      <c r="D120" s="3" t="s">
        <v>179</v>
      </c>
      <c r="E120" s="3"/>
      <c r="F120" s="3" t="s">
        <v>467</v>
      </c>
    </row>
    <row r="121" spans="2:6" ht="22.5" x14ac:dyDescent="0.25">
      <c r="B121" s="3" t="s">
        <v>252</v>
      </c>
      <c r="C121" s="3" t="s">
        <v>250</v>
      </c>
      <c r="D121" s="3" t="s">
        <v>179</v>
      </c>
      <c r="E121" s="6">
        <v>0.99998842592592585</v>
      </c>
      <c r="F121" s="6" t="s">
        <v>470</v>
      </c>
    </row>
    <row r="122" spans="2:6" ht="22.5" x14ac:dyDescent="0.25">
      <c r="B122" s="3" t="s">
        <v>450</v>
      </c>
      <c r="C122" s="3" t="s">
        <v>250</v>
      </c>
      <c r="D122" s="3" t="s">
        <v>179</v>
      </c>
      <c r="E122" s="3"/>
      <c r="F122" s="3" t="s">
        <v>471</v>
      </c>
    </row>
    <row r="123" spans="2:6" ht="22.5" x14ac:dyDescent="0.25">
      <c r="B123" s="3" t="s">
        <v>457</v>
      </c>
      <c r="C123" s="3" t="s">
        <v>250</v>
      </c>
      <c r="D123" s="3" t="s">
        <v>179</v>
      </c>
      <c r="E123" s="3"/>
      <c r="F123" s="3" t="s">
        <v>471</v>
      </c>
    </row>
    <row r="124" spans="2:6" ht="33.75" x14ac:dyDescent="0.25">
      <c r="B124" s="3" t="s">
        <v>458</v>
      </c>
      <c r="C124" s="3" t="s">
        <v>250</v>
      </c>
      <c r="D124" s="3" t="s">
        <v>106</v>
      </c>
      <c r="E124" s="3" t="b">
        <v>1</v>
      </c>
      <c r="F124" s="3" t="s">
        <v>472</v>
      </c>
    </row>
    <row r="125" spans="2:6" ht="33.75" x14ac:dyDescent="0.25">
      <c r="B125" s="3" t="s">
        <v>459</v>
      </c>
      <c r="C125" s="3" t="s">
        <v>250</v>
      </c>
      <c r="D125" s="3" t="s">
        <v>106</v>
      </c>
      <c r="E125" s="3" t="b">
        <v>0</v>
      </c>
      <c r="F125" s="3" t="s">
        <v>473</v>
      </c>
    </row>
    <row r="126" spans="2:6" ht="67.5" x14ac:dyDescent="0.25">
      <c r="B126" s="3" t="s">
        <v>448</v>
      </c>
      <c r="C126" s="3" t="s">
        <v>250</v>
      </c>
      <c r="D126" s="3" t="s">
        <v>106</v>
      </c>
      <c r="E126" s="3" t="b">
        <v>0</v>
      </c>
      <c r="F126" s="8" t="s">
        <v>474</v>
      </c>
    </row>
    <row r="127" spans="2:6" ht="33.75" x14ac:dyDescent="0.25">
      <c r="B127" s="3" t="s">
        <v>460</v>
      </c>
      <c r="C127" s="3" t="s">
        <v>250</v>
      </c>
      <c r="D127" s="3" t="s">
        <v>106</v>
      </c>
      <c r="E127" s="3" t="b">
        <v>0</v>
      </c>
      <c r="F127" s="3" t="s">
        <v>475</v>
      </c>
    </row>
    <row r="128" spans="2:6" ht="45" x14ac:dyDescent="0.25">
      <c r="B128" s="3" t="s">
        <v>461</v>
      </c>
      <c r="C128" s="3" t="s">
        <v>250</v>
      </c>
      <c r="D128" s="3" t="s">
        <v>106</v>
      </c>
      <c r="E128" s="3" t="b">
        <v>0</v>
      </c>
      <c r="F128" s="3" t="s">
        <v>476</v>
      </c>
    </row>
    <row r="129" spans="2:6" ht="45" x14ac:dyDescent="0.25">
      <c r="B129" s="3" t="s">
        <v>462</v>
      </c>
      <c r="C129" s="3" t="s">
        <v>463</v>
      </c>
      <c r="D129" s="3" t="s">
        <v>106</v>
      </c>
      <c r="E129" s="3" t="b">
        <v>0</v>
      </c>
      <c r="F129" s="3" t="s">
        <v>478</v>
      </c>
    </row>
    <row r="130" spans="2:6" ht="33.75" x14ac:dyDescent="0.25">
      <c r="B130" s="3" t="s">
        <v>464</v>
      </c>
      <c r="C130" s="3" t="s">
        <v>250</v>
      </c>
      <c r="D130" s="3" t="s">
        <v>106</v>
      </c>
      <c r="E130" s="3" t="b">
        <v>0</v>
      </c>
      <c r="F130" s="3" t="s">
        <v>477</v>
      </c>
    </row>
  </sheetData>
  <sheetProtection algorithmName="SHA-512" hashValue="ADkd6kI/IPIhPZhhKMbDsQAJ0IKQVPq+CVwIt4WlThJ9VX72OtlVsF+I9ZaI+LR2N1kmcPXjKIiLC/jMRQDUFw==" saltValue="/rJ95FMSJrhZGR73nWk9Gw==" spinCount="100000" sheet="1" objects="1" scenarios="1"/>
  <autoFilter ref="B3:E81" xr:uid="{7F650B4B-DB2E-4BBD-9A6B-E66BB8078BAE}">
    <filterColumn colId="0">
      <filters>
        <filter val="approvedLeave"/>
        <filter val="approvedLeaveByEmployee"/>
        <filter val="leaveReasonId"/>
      </filters>
    </filterColumn>
  </autoFilter>
  <mergeCells count="14">
    <mergeCell ref="F79:F81"/>
    <mergeCell ref="B69:B70"/>
    <mergeCell ref="C69:C70"/>
    <mergeCell ref="D69:D70"/>
    <mergeCell ref="B79:B81"/>
    <mergeCell ref="C79:C81"/>
    <mergeCell ref="D79:D81"/>
    <mergeCell ref="F60:F62"/>
    <mergeCell ref="B67:B68"/>
    <mergeCell ref="C67:C68"/>
    <mergeCell ref="D67:D68"/>
    <mergeCell ref="B60:B62"/>
    <mergeCell ref="C60:C62"/>
    <mergeCell ref="D60:D62"/>
  </mergeCell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E4A5C-E263-47E4-8414-04AA58F7C55A}">
  <dimension ref="B2:E64"/>
  <sheetViews>
    <sheetView zoomScale="130" zoomScaleNormal="130" workbookViewId="0">
      <selection activeCell="A64" sqref="A64:XFD64"/>
    </sheetView>
  </sheetViews>
  <sheetFormatPr defaultColWidth="24.42578125" defaultRowHeight="15" x14ac:dyDescent="0.25"/>
  <cols>
    <col min="1" max="1" width="4.42578125" customWidth="1"/>
    <col min="2" max="2" width="22.42578125" customWidth="1"/>
    <col min="5" max="5" width="46.42578125" customWidth="1"/>
  </cols>
  <sheetData>
    <row r="2" spans="2:5" x14ac:dyDescent="0.25">
      <c r="B2" t="s">
        <v>479</v>
      </c>
    </row>
    <row r="3" spans="2:5" x14ac:dyDescent="0.25">
      <c r="B3" s="2" t="s">
        <v>40</v>
      </c>
      <c r="C3" s="2" t="s">
        <v>41</v>
      </c>
      <c r="D3" s="2" t="s">
        <v>42</v>
      </c>
      <c r="E3" s="2" t="s">
        <v>43</v>
      </c>
    </row>
    <row r="4" spans="2:5" ht="22.5" x14ac:dyDescent="0.25">
      <c r="B4" s="3" t="s">
        <v>0</v>
      </c>
      <c r="C4" s="3" t="s">
        <v>157</v>
      </c>
      <c r="D4" s="3">
        <v>67891</v>
      </c>
      <c r="E4" s="3" t="s">
        <v>702</v>
      </c>
    </row>
    <row r="5" spans="2:5" x14ac:dyDescent="0.25">
      <c r="B5" s="3" t="s">
        <v>2</v>
      </c>
      <c r="C5" s="3" t="s">
        <v>157</v>
      </c>
      <c r="D5" s="3">
        <v>4</v>
      </c>
      <c r="E5" s="3" t="s">
        <v>160</v>
      </c>
    </row>
    <row r="6" spans="2:5" x14ac:dyDescent="0.25">
      <c r="B6" s="3" t="s">
        <v>161</v>
      </c>
      <c r="C6" s="3" t="s">
        <v>162</v>
      </c>
      <c r="D6" s="3" t="s">
        <v>50</v>
      </c>
      <c r="E6" s="3"/>
    </row>
    <row r="7" spans="2:5" x14ac:dyDescent="0.25">
      <c r="B7" s="3" t="s">
        <v>163</v>
      </c>
      <c r="C7" s="3" t="s">
        <v>164</v>
      </c>
      <c r="D7" s="3" t="s">
        <v>165</v>
      </c>
      <c r="E7" s="3"/>
    </row>
    <row r="8" spans="2:5" x14ac:dyDescent="0.25">
      <c r="B8" s="3" t="s">
        <v>166</v>
      </c>
      <c r="C8" s="3" t="s">
        <v>162</v>
      </c>
      <c r="D8" s="3" t="s">
        <v>50</v>
      </c>
      <c r="E8" s="3"/>
    </row>
    <row r="9" spans="2:5" x14ac:dyDescent="0.25">
      <c r="B9" s="3" t="s">
        <v>167</v>
      </c>
      <c r="C9" s="3" t="s">
        <v>164</v>
      </c>
      <c r="D9" s="3" t="s">
        <v>165</v>
      </c>
      <c r="E9" s="3"/>
    </row>
    <row r="10" spans="2:5" x14ac:dyDescent="0.25">
      <c r="B10" s="3" t="s">
        <v>168</v>
      </c>
      <c r="C10" s="3" t="s">
        <v>157</v>
      </c>
      <c r="D10" s="3"/>
      <c r="E10" s="3"/>
    </row>
    <row r="11" spans="2:5" x14ac:dyDescent="0.25">
      <c r="B11" s="3" t="s">
        <v>169</v>
      </c>
      <c r="C11" s="3" t="s">
        <v>164</v>
      </c>
      <c r="D11" s="6">
        <v>0.5</v>
      </c>
      <c r="E11" s="3"/>
    </row>
    <row r="12" spans="2:5" x14ac:dyDescent="0.25">
      <c r="B12" s="3" t="s">
        <v>170</v>
      </c>
      <c r="C12" s="3" t="s">
        <v>164</v>
      </c>
      <c r="D12" s="6">
        <v>0.54166666666666663</v>
      </c>
      <c r="E12" s="3"/>
    </row>
    <row r="13" spans="2:5" x14ac:dyDescent="0.25">
      <c r="B13" s="3" t="s">
        <v>171</v>
      </c>
      <c r="C13" s="3" t="s">
        <v>164</v>
      </c>
      <c r="D13" s="6">
        <v>0</v>
      </c>
      <c r="E13" s="3"/>
    </row>
    <row r="14" spans="2:5" x14ac:dyDescent="0.25">
      <c r="B14" s="3" t="s">
        <v>172</v>
      </c>
      <c r="C14" s="3" t="s">
        <v>164</v>
      </c>
      <c r="D14" s="6">
        <v>0</v>
      </c>
      <c r="E14" s="3"/>
    </row>
    <row r="15" spans="2:5" x14ac:dyDescent="0.25">
      <c r="B15" s="3" t="s">
        <v>173</v>
      </c>
      <c r="C15" s="3" t="s">
        <v>164</v>
      </c>
      <c r="D15" s="6">
        <v>0</v>
      </c>
      <c r="E15" s="3"/>
    </row>
    <row r="16" spans="2:5" x14ac:dyDescent="0.25">
      <c r="B16" s="3" t="s">
        <v>174</v>
      </c>
      <c r="C16" s="3" t="s">
        <v>164</v>
      </c>
      <c r="D16" s="6">
        <v>0</v>
      </c>
      <c r="E16" s="3"/>
    </row>
    <row r="17" spans="2:5" x14ac:dyDescent="0.25">
      <c r="B17" s="3" t="s">
        <v>175</v>
      </c>
      <c r="C17" s="3" t="s">
        <v>164</v>
      </c>
      <c r="D17" s="6">
        <v>0</v>
      </c>
      <c r="E17" s="3"/>
    </row>
    <row r="18" spans="2:5" x14ac:dyDescent="0.25">
      <c r="B18" s="3" t="s">
        <v>176</v>
      </c>
      <c r="C18" s="3" t="s">
        <v>164</v>
      </c>
      <c r="D18" s="6">
        <v>0</v>
      </c>
      <c r="E18" s="3"/>
    </row>
    <row r="19" spans="2:5" ht="22.5" x14ac:dyDescent="0.25">
      <c r="B19" s="3" t="s">
        <v>177</v>
      </c>
      <c r="C19" s="3" t="s">
        <v>157</v>
      </c>
      <c r="D19" s="3">
        <v>3</v>
      </c>
      <c r="E19" s="3" t="s">
        <v>178</v>
      </c>
    </row>
    <row r="20" spans="2:5" x14ac:dyDescent="0.25">
      <c r="B20" s="3" t="s">
        <v>3</v>
      </c>
      <c r="C20" s="3" t="s">
        <v>179</v>
      </c>
      <c r="D20" s="3"/>
      <c r="E20" s="3"/>
    </row>
    <row r="21" spans="2:5" x14ac:dyDescent="0.25">
      <c r="B21" s="3" t="s">
        <v>180</v>
      </c>
      <c r="C21" s="3" t="s">
        <v>157</v>
      </c>
      <c r="D21" s="3">
        <v>1</v>
      </c>
      <c r="E21" s="3" t="s">
        <v>181</v>
      </c>
    </row>
    <row r="22" spans="2:5" x14ac:dyDescent="0.25">
      <c r="B22" s="3" t="s">
        <v>182</v>
      </c>
      <c r="C22" s="3" t="s">
        <v>157</v>
      </c>
      <c r="D22" s="3"/>
      <c r="E22" s="3"/>
    </row>
    <row r="23" spans="2:5" x14ac:dyDescent="0.25">
      <c r="B23" s="3" t="s">
        <v>183</v>
      </c>
      <c r="C23" s="3" t="s">
        <v>157</v>
      </c>
      <c r="D23" s="3"/>
      <c r="E23" s="3"/>
    </row>
    <row r="24" spans="2:5" x14ac:dyDescent="0.25">
      <c r="B24" s="3" t="s">
        <v>184</v>
      </c>
      <c r="C24" s="3" t="s">
        <v>157</v>
      </c>
      <c r="D24" s="3"/>
      <c r="E24" s="3"/>
    </row>
    <row r="25" spans="2:5" x14ac:dyDescent="0.25">
      <c r="B25" s="3" t="s">
        <v>69</v>
      </c>
      <c r="C25" s="3" t="s">
        <v>157</v>
      </c>
      <c r="D25" s="3"/>
      <c r="E25" s="3"/>
    </row>
    <row r="26" spans="2:5" x14ac:dyDescent="0.25">
      <c r="B26" s="3" t="s">
        <v>185</v>
      </c>
      <c r="C26" s="3" t="s">
        <v>157</v>
      </c>
      <c r="D26" s="3"/>
      <c r="E26" s="3"/>
    </row>
    <row r="27" spans="2:5" x14ac:dyDescent="0.25">
      <c r="B27" s="3" t="s">
        <v>186</v>
      </c>
      <c r="C27" s="3" t="s">
        <v>179</v>
      </c>
      <c r="D27" s="3"/>
      <c r="E27" s="3"/>
    </row>
    <row r="28" spans="2:5" x14ac:dyDescent="0.25">
      <c r="B28" s="3" t="s">
        <v>27</v>
      </c>
      <c r="C28" s="3" t="s">
        <v>179</v>
      </c>
      <c r="D28" s="3"/>
      <c r="E28" s="3"/>
    </row>
    <row r="29" spans="2:5" x14ac:dyDescent="0.25">
      <c r="B29" s="3" t="s">
        <v>52</v>
      </c>
      <c r="C29" s="3" t="s">
        <v>157</v>
      </c>
      <c r="D29" s="3"/>
      <c r="E29" s="3" t="s">
        <v>187</v>
      </c>
    </row>
    <row r="30" spans="2:5" x14ac:dyDescent="0.25">
      <c r="B30" s="3" t="s">
        <v>53</v>
      </c>
      <c r="C30" s="3" t="s">
        <v>179</v>
      </c>
      <c r="D30" s="3"/>
      <c r="E30" s="3"/>
    </row>
    <row r="31" spans="2:5" x14ac:dyDescent="0.25">
      <c r="B31" s="3" t="s">
        <v>703</v>
      </c>
      <c r="C31" s="3"/>
      <c r="D31" s="3"/>
      <c r="E31" s="3"/>
    </row>
    <row r="32" spans="2:5" x14ac:dyDescent="0.25">
      <c r="B32" s="3" t="s">
        <v>10</v>
      </c>
      <c r="C32" s="3" t="s">
        <v>188</v>
      </c>
      <c r="D32" s="3" t="s">
        <v>253</v>
      </c>
      <c r="E32" s="3"/>
    </row>
    <row r="33" spans="2:5" x14ac:dyDescent="0.25">
      <c r="B33" s="3" t="s">
        <v>189</v>
      </c>
      <c r="C33" s="3" t="s">
        <v>157</v>
      </c>
      <c r="D33" s="3"/>
      <c r="E33" s="3"/>
    </row>
    <row r="34" spans="2:5" x14ac:dyDescent="0.25">
      <c r="B34" s="3" t="s">
        <v>190</v>
      </c>
      <c r="C34" s="3" t="s">
        <v>157</v>
      </c>
      <c r="D34" s="3"/>
      <c r="E34" s="3"/>
    </row>
    <row r="35" spans="2:5" x14ac:dyDescent="0.25">
      <c r="B35" s="3" t="s">
        <v>14</v>
      </c>
      <c r="C35" s="3" t="s">
        <v>157</v>
      </c>
      <c r="D35" s="3"/>
      <c r="E35" s="3"/>
    </row>
    <row r="36" spans="2:5" x14ac:dyDescent="0.25">
      <c r="B36" s="3" t="s">
        <v>16</v>
      </c>
      <c r="C36" s="3" t="s">
        <v>157</v>
      </c>
      <c r="D36" s="3"/>
      <c r="E36" s="3"/>
    </row>
    <row r="37" spans="2:5" x14ac:dyDescent="0.25">
      <c r="B37" s="3" t="s">
        <v>15</v>
      </c>
      <c r="C37" s="3" t="s">
        <v>157</v>
      </c>
      <c r="D37" s="3"/>
      <c r="E37" s="3"/>
    </row>
    <row r="38" spans="2:5" x14ac:dyDescent="0.25">
      <c r="B38" s="3" t="s">
        <v>191</v>
      </c>
      <c r="C38" s="3" t="s">
        <v>179</v>
      </c>
      <c r="D38" s="3"/>
      <c r="E38" s="3"/>
    </row>
    <row r="39" spans="2:5" x14ac:dyDescent="0.25">
      <c r="B39" s="3" t="s">
        <v>192</v>
      </c>
      <c r="C39" s="3" t="s">
        <v>179</v>
      </c>
      <c r="D39" s="3"/>
      <c r="E39" s="3"/>
    </row>
    <row r="40" spans="2:5" x14ac:dyDescent="0.25">
      <c r="B40" s="3" t="s">
        <v>55</v>
      </c>
      <c r="C40" s="3" t="s">
        <v>179</v>
      </c>
      <c r="D40" s="3"/>
      <c r="E40" s="3"/>
    </row>
    <row r="41" spans="2:5" x14ac:dyDescent="0.25">
      <c r="B41" s="3" t="s">
        <v>193</v>
      </c>
      <c r="C41" s="3" t="s">
        <v>179</v>
      </c>
      <c r="D41" s="3"/>
      <c r="E41" s="3"/>
    </row>
    <row r="42" spans="2:5" x14ac:dyDescent="0.25">
      <c r="B42" s="3" t="s">
        <v>704</v>
      </c>
      <c r="C42" s="3" t="s">
        <v>179</v>
      </c>
      <c r="D42" s="3"/>
      <c r="E42" s="3" t="s">
        <v>705</v>
      </c>
    </row>
    <row r="43" spans="2:5" x14ac:dyDescent="0.25">
      <c r="B43" s="3" t="s">
        <v>142</v>
      </c>
      <c r="C43" s="3" t="s">
        <v>179</v>
      </c>
      <c r="D43" s="3"/>
      <c r="E43" s="3"/>
    </row>
    <row r="44" spans="2:5" x14ac:dyDescent="0.25">
      <c r="B44" s="3" t="s">
        <v>144</v>
      </c>
      <c r="C44" s="3" t="s">
        <v>179</v>
      </c>
      <c r="D44" s="3"/>
      <c r="E44" s="3"/>
    </row>
    <row r="45" spans="2:5" ht="22.5" x14ac:dyDescent="0.25">
      <c r="B45" s="3" t="s">
        <v>17</v>
      </c>
      <c r="C45" s="3" t="s">
        <v>179</v>
      </c>
      <c r="D45" s="3"/>
      <c r="E45" s="3"/>
    </row>
    <row r="46" spans="2:5" ht="22.5" x14ac:dyDescent="0.25">
      <c r="B46" s="3" t="s">
        <v>18</v>
      </c>
      <c r="C46" s="3" t="s">
        <v>179</v>
      </c>
      <c r="D46" s="3"/>
      <c r="E46" s="3"/>
    </row>
    <row r="47" spans="2:5" ht="22.5" x14ac:dyDescent="0.25">
      <c r="B47" s="3" t="s">
        <v>19</v>
      </c>
      <c r="C47" s="3" t="s">
        <v>179</v>
      </c>
      <c r="D47" s="3"/>
      <c r="E47" s="3"/>
    </row>
    <row r="48" spans="2:5" ht="22.5" x14ac:dyDescent="0.25">
      <c r="B48" s="3" t="s">
        <v>20</v>
      </c>
      <c r="C48" s="3" t="s">
        <v>179</v>
      </c>
      <c r="D48" s="3"/>
      <c r="E48" s="3"/>
    </row>
    <row r="49" spans="2:5" ht="22.5" x14ac:dyDescent="0.25">
      <c r="B49" s="3" t="s">
        <v>21</v>
      </c>
      <c r="C49" s="3" t="s">
        <v>179</v>
      </c>
      <c r="D49" s="3"/>
      <c r="E49" s="3"/>
    </row>
    <row r="50" spans="2:5" x14ac:dyDescent="0.25">
      <c r="B50" s="3" t="s">
        <v>194</v>
      </c>
      <c r="C50" s="3" t="s">
        <v>162</v>
      </c>
      <c r="D50" s="3"/>
      <c r="E50" s="3"/>
    </row>
    <row r="51" spans="2:5" x14ac:dyDescent="0.25">
      <c r="B51" s="3" t="s">
        <v>195</v>
      </c>
      <c r="C51" s="3" t="s">
        <v>157</v>
      </c>
      <c r="D51" s="3"/>
      <c r="E51" s="3"/>
    </row>
    <row r="52" spans="2:5" x14ac:dyDescent="0.25">
      <c r="B52" s="3" t="s">
        <v>196</v>
      </c>
      <c r="C52" s="3" t="s">
        <v>157</v>
      </c>
      <c r="D52" s="3"/>
      <c r="E52" s="3"/>
    </row>
    <row r="53" spans="2:5" x14ac:dyDescent="0.25">
      <c r="B53" s="3" t="s">
        <v>197</v>
      </c>
      <c r="C53" s="3" t="s">
        <v>188</v>
      </c>
      <c r="D53" s="3"/>
      <c r="E53" s="3"/>
    </row>
    <row r="54" spans="2:5" x14ac:dyDescent="0.25">
      <c r="B54" s="3" t="s">
        <v>198</v>
      </c>
      <c r="C54" s="3" t="s">
        <v>157</v>
      </c>
      <c r="D54" s="3"/>
      <c r="E54" s="3"/>
    </row>
    <row r="55" spans="2:5" ht="56.25" x14ac:dyDescent="0.25">
      <c r="B55" s="3" t="s">
        <v>199</v>
      </c>
      <c r="C55" s="3" t="s">
        <v>157</v>
      </c>
      <c r="D55" s="3"/>
      <c r="E55" s="3" t="s">
        <v>200</v>
      </c>
    </row>
    <row r="56" spans="2:5" ht="37.5" customHeight="1" x14ac:dyDescent="0.25">
      <c r="B56" s="3" t="s">
        <v>34</v>
      </c>
      <c r="C56" s="3" t="s">
        <v>201</v>
      </c>
      <c r="D56" s="3" t="s">
        <v>202</v>
      </c>
      <c r="E56" s="3" t="s">
        <v>203</v>
      </c>
    </row>
    <row r="57" spans="2:5" ht="22.5" x14ac:dyDescent="0.25">
      <c r="B57" s="3" t="s">
        <v>706</v>
      </c>
      <c r="C57" s="3" t="s">
        <v>157</v>
      </c>
      <c r="D57" s="3"/>
      <c r="E57" s="3" t="s">
        <v>711</v>
      </c>
    </row>
    <row r="58" spans="2:5" ht="32.25" customHeight="1" x14ac:dyDescent="0.25">
      <c r="B58" s="3" t="s">
        <v>0</v>
      </c>
      <c r="C58" s="3" t="s">
        <v>157</v>
      </c>
      <c r="D58" s="3"/>
      <c r="E58" s="3" t="s">
        <v>707</v>
      </c>
    </row>
    <row r="59" spans="2:5" x14ac:dyDescent="0.25">
      <c r="B59" s="251" t="s">
        <v>708</v>
      </c>
      <c r="C59" s="251" t="s">
        <v>157</v>
      </c>
      <c r="D59" s="251"/>
      <c r="E59" s="251" t="s">
        <v>709</v>
      </c>
    </row>
    <row r="60" spans="2:5" x14ac:dyDescent="0.25">
      <c r="B60" s="251"/>
      <c r="C60" s="251"/>
      <c r="D60" s="251"/>
      <c r="E60" s="251"/>
    </row>
    <row r="61" spans="2:5" x14ac:dyDescent="0.25">
      <c r="B61" s="251" t="s">
        <v>710</v>
      </c>
      <c r="C61" s="251" t="s">
        <v>179</v>
      </c>
      <c r="D61" s="251"/>
      <c r="E61" s="251"/>
    </row>
    <row r="62" spans="2:5" x14ac:dyDescent="0.25">
      <c r="B62" s="251"/>
      <c r="C62" s="251"/>
      <c r="D62" s="251"/>
      <c r="E62" s="251"/>
    </row>
    <row r="63" spans="2:5" x14ac:dyDescent="0.25">
      <c r="B63" s="3" t="s">
        <v>25</v>
      </c>
      <c r="C63" s="3" t="s">
        <v>106</v>
      </c>
      <c r="D63" s="3" t="s">
        <v>211</v>
      </c>
      <c r="E63" s="3"/>
    </row>
    <row r="64" spans="2:5" ht="33.75" x14ac:dyDescent="0.25">
      <c r="B64" s="3" t="s">
        <v>214</v>
      </c>
      <c r="C64" s="3" t="s">
        <v>45</v>
      </c>
      <c r="D64" s="3"/>
      <c r="E64" s="3" t="s">
        <v>215</v>
      </c>
    </row>
  </sheetData>
  <sheetProtection algorithmName="SHA-512" hashValue="3bbRxQ+2IvJt6hft9VmGfw4E9b4lTLqZcCV+WdgAK31ADKmc9WaS464jPRlUQVcUySYbdm8BtKImxq3lSmR14g==" saltValue="QjNBjDAkpO7LZZaAD18CWA==" spinCount="100000" sheet="1" objects="1" scenarios="1"/>
  <autoFilter ref="B3:E64" xr:uid="{C0FA99CA-C082-4290-976A-FC90D6B2ED31}"/>
  <mergeCells count="8">
    <mergeCell ref="E59:E60"/>
    <mergeCell ref="B61:B62"/>
    <mergeCell ref="C61:C62"/>
    <mergeCell ref="D61:D62"/>
    <mergeCell ref="E61:E62"/>
    <mergeCell ref="B59:B60"/>
    <mergeCell ref="C59:C60"/>
    <mergeCell ref="D59:D60"/>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D13B0-AEEC-4C00-BDC3-1226B7735BA9}">
  <dimension ref="B3:E68"/>
  <sheetViews>
    <sheetView topLeftCell="A36" zoomScale="90" zoomScaleNormal="90" workbookViewId="0">
      <selection activeCell="D34" sqref="D34"/>
    </sheetView>
  </sheetViews>
  <sheetFormatPr defaultColWidth="8.42578125" defaultRowHeight="15" x14ac:dyDescent="0.25"/>
  <cols>
    <col min="2" max="2" width="24.42578125" customWidth="1"/>
    <col min="3" max="3" width="12.42578125" customWidth="1"/>
    <col min="4" max="4" width="27.42578125" customWidth="1"/>
    <col min="5" max="5" width="40.42578125" customWidth="1"/>
  </cols>
  <sheetData>
    <row r="3" spans="2:5" x14ac:dyDescent="0.25">
      <c r="B3" t="s">
        <v>426</v>
      </c>
    </row>
    <row r="4" spans="2:5" x14ac:dyDescent="0.25">
      <c r="B4" s="2" t="s">
        <v>40</v>
      </c>
      <c r="C4" s="2" t="s">
        <v>41</v>
      </c>
      <c r="D4" s="2" t="s">
        <v>42</v>
      </c>
      <c r="E4" s="2" t="s">
        <v>43</v>
      </c>
    </row>
    <row r="5" spans="2:5" x14ac:dyDescent="0.25">
      <c r="B5" s="3" t="s">
        <v>0</v>
      </c>
      <c r="C5" s="3" t="s">
        <v>44</v>
      </c>
      <c r="D5" s="3">
        <v>67891</v>
      </c>
      <c r="E5" s="3" t="s">
        <v>123</v>
      </c>
    </row>
    <row r="6" spans="2:5" x14ac:dyDescent="0.25">
      <c r="B6" s="3" t="s">
        <v>1</v>
      </c>
      <c r="C6" s="3" t="s">
        <v>45</v>
      </c>
      <c r="D6" s="3"/>
      <c r="E6" s="3" t="s">
        <v>124</v>
      </c>
    </row>
    <row r="7" spans="2:5" x14ac:dyDescent="0.25">
      <c r="B7" s="3" t="s">
        <v>2</v>
      </c>
      <c r="C7" s="3" t="s">
        <v>44</v>
      </c>
      <c r="D7" s="3"/>
      <c r="E7" s="3"/>
    </row>
    <row r="8" spans="2:5" x14ac:dyDescent="0.25">
      <c r="B8" s="3" t="s">
        <v>3</v>
      </c>
      <c r="C8" s="3" t="s">
        <v>45</v>
      </c>
      <c r="D8" s="3"/>
      <c r="E8" s="3"/>
    </row>
    <row r="9" spans="2:5" x14ac:dyDescent="0.25">
      <c r="B9" s="3" t="s">
        <v>4</v>
      </c>
      <c r="C9" s="3" t="s">
        <v>45</v>
      </c>
      <c r="D9" s="3"/>
      <c r="E9" s="3"/>
    </row>
    <row r="10" spans="2:5" x14ac:dyDescent="0.25">
      <c r="B10" s="3" t="s">
        <v>5</v>
      </c>
      <c r="C10" s="3" t="s">
        <v>45</v>
      </c>
      <c r="D10" s="3"/>
      <c r="E10" s="3"/>
    </row>
    <row r="11" spans="2:5" x14ac:dyDescent="0.25">
      <c r="B11" s="3" t="s">
        <v>6</v>
      </c>
      <c r="C11" s="3" t="s">
        <v>125</v>
      </c>
      <c r="D11" s="3" t="s">
        <v>126</v>
      </c>
      <c r="E11" s="3"/>
    </row>
    <row r="12" spans="2:5" x14ac:dyDescent="0.25">
      <c r="B12" s="3" t="s">
        <v>7</v>
      </c>
      <c r="C12" s="3" t="s">
        <v>125</v>
      </c>
      <c r="D12" s="3" t="s">
        <v>127</v>
      </c>
      <c r="E12" s="3"/>
    </row>
    <row r="13" spans="2:5" x14ac:dyDescent="0.25">
      <c r="B13" s="3" t="s">
        <v>10</v>
      </c>
      <c r="C13" s="3" t="s">
        <v>128</v>
      </c>
      <c r="D13" s="3"/>
      <c r="E13" s="3" t="s">
        <v>129</v>
      </c>
    </row>
    <row r="14" spans="2:5" ht="22.5" x14ac:dyDescent="0.25">
      <c r="B14" s="3" t="s">
        <v>11</v>
      </c>
      <c r="C14" s="3" t="s">
        <v>130</v>
      </c>
      <c r="D14" s="3" t="s">
        <v>131</v>
      </c>
      <c r="E14" s="3" t="s">
        <v>132</v>
      </c>
    </row>
    <row r="15" spans="2:5" ht="22.5" x14ac:dyDescent="0.25">
      <c r="B15" s="3" t="s">
        <v>12</v>
      </c>
      <c r="C15" s="3" t="s">
        <v>130</v>
      </c>
      <c r="D15" s="3" t="s">
        <v>131</v>
      </c>
      <c r="E15" s="3" t="s">
        <v>133</v>
      </c>
    </row>
    <row r="16" spans="2:5" ht="56.25" x14ac:dyDescent="0.25">
      <c r="B16" s="3" t="s">
        <v>13</v>
      </c>
      <c r="C16" s="3" t="s">
        <v>130</v>
      </c>
      <c r="D16" s="3" t="s">
        <v>131</v>
      </c>
      <c r="E16" s="3" t="s">
        <v>134</v>
      </c>
    </row>
    <row r="17" spans="2:5" x14ac:dyDescent="0.25">
      <c r="B17" s="3" t="s">
        <v>14</v>
      </c>
      <c r="C17" s="3" t="s">
        <v>45</v>
      </c>
      <c r="D17" s="3"/>
      <c r="E17" s="3" t="s">
        <v>135</v>
      </c>
    </row>
    <row r="18" spans="2:5" x14ac:dyDescent="0.25">
      <c r="B18" s="3" t="s">
        <v>15</v>
      </c>
      <c r="C18" s="3" t="s">
        <v>45</v>
      </c>
      <c r="D18" s="3"/>
      <c r="E18" s="3" t="s">
        <v>136</v>
      </c>
    </row>
    <row r="19" spans="2:5" x14ac:dyDescent="0.25">
      <c r="B19" s="3" t="s">
        <v>16</v>
      </c>
      <c r="C19" s="3" t="s">
        <v>45</v>
      </c>
      <c r="D19" s="3"/>
      <c r="E19" s="3" t="s">
        <v>137</v>
      </c>
    </row>
    <row r="20" spans="2:5" ht="22.5" x14ac:dyDescent="0.25">
      <c r="B20" s="3" t="s">
        <v>17</v>
      </c>
      <c r="C20" s="3" t="s">
        <v>45</v>
      </c>
      <c r="D20" s="3"/>
      <c r="E20" s="3" t="s">
        <v>138</v>
      </c>
    </row>
    <row r="21" spans="2:5" ht="22.5" x14ac:dyDescent="0.25">
      <c r="B21" s="3" t="s">
        <v>18</v>
      </c>
      <c r="C21" s="3" t="s">
        <v>45</v>
      </c>
      <c r="D21" s="3"/>
      <c r="E21" s="3" t="s">
        <v>138</v>
      </c>
    </row>
    <row r="22" spans="2:5" ht="22.5" x14ac:dyDescent="0.25">
      <c r="B22" s="3" t="s">
        <v>19</v>
      </c>
      <c r="C22" s="3" t="s">
        <v>45</v>
      </c>
      <c r="D22" s="3"/>
      <c r="E22" s="3" t="s">
        <v>138</v>
      </c>
    </row>
    <row r="23" spans="2:5" ht="22.5" x14ac:dyDescent="0.25">
      <c r="B23" s="3" t="s">
        <v>20</v>
      </c>
      <c r="C23" s="3" t="s">
        <v>45</v>
      </c>
      <c r="D23" s="3"/>
      <c r="E23" s="3" t="s">
        <v>138</v>
      </c>
    </row>
    <row r="24" spans="2:5" ht="22.5" x14ac:dyDescent="0.25">
      <c r="B24" s="3" t="s">
        <v>21</v>
      </c>
      <c r="C24" s="3" t="s">
        <v>45</v>
      </c>
      <c r="D24" s="3"/>
      <c r="E24" s="3" t="s">
        <v>138</v>
      </c>
    </row>
    <row r="25" spans="2:5" x14ac:dyDescent="0.25">
      <c r="B25" s="3" t="s">
        <v>139</v>
      </c>
      <c r="C25" s="3" t="s">
        <v>45</v>
      </c>
      <c r="D25" s="3"/>
      <c r="E25" s="3"/>
    </row>
    <row r="26" spans="2:5" x14ac:dyDescent="0.25">
      <c r="B26" s="3" t="s">
        <v>140</v>
      </c>
      <c r="C26" s="3" t="s">
        <v>45</v>
      </c>
      <c r="D26" s="3"/>
      <c r="E26" s="3"/>
    </row>
    <row r="27" spans="2:5" x14ac:dyDescent="0.25">
      <c r="B27" s="3" t="s">
        <v>141</v>
      </c>
      <c r="C27" s="3" t="s">
        <v>45</v>
      </c>
      <c r="D27" s="3"/>
      <c r="E27" s="3"/>
    </row>
    <row r="28" spans="2:5" ht="22.5" x14ac:dyDescent="0.25">
      <c r="B28" s="3" t="s">
        <v>142</v>
      </c>
      <c r="C28" s="3" t="s">
        <v>45</v>
      </c>
      <c r="D28" s="3"/>
      <c r="E28" s="3" t="s">
        <v>143</v>
      </c>
    </row>
    <row r="29" spans="2:5" ht="22.5" x14ac:dyDescent="0.25">
      <c r="B29" s="3" t="s">
        <v>144</v>
      </c>
      <c r="C29" s="3" t="s">
        <v>45</v>
      </c>
      <c r="D29" s="3"/>
      <c r="E29" s="3" t="s">
        <v>143</v>
      </c>
    </row>
    <row r="30" spans="2:5" ht="22.5" x14ac:dyDescent="0.25">
      <c r="B30" s="3" t="s">
        <v>22</v>
      </c>
      <c r="C30" s="3" t="s">
        <v>44</v>
      </c>
      <c r="D30" s="3"/>
      <c r="E30" s="3" t="s">
        <v>145</v>
      </c>
    </row>
    <row r="31" spans="2:5" ht="22.5" x14ac:dyDescent="0.25">
      <c r="B31" s="3" t="s">
        <v>23</v>
      </c>
      <c r="C31" s="3" t="s">
        <v>130</v>
      </c>
      <c r="D31" s="3" t="s">
        <v>131</v>
      </c>
      <c r="E31" s="3" t="s">
        <v>146</v>
      </c>
    </row>
    <row r="32" spans="2:5" ht="22.5" x14ac:dyDescent="0.25">
      <c r="B32" s="3" t="s">
        <v>24</v>
      </c>
      <c r="C32" s="3" t="s">
        <v>130</v>
      </c>
      <c r="D32" s="3" t="s">
        <v>131</v>
      </c>
      <c r="E32" s="3" t="s">
        <v>147</v>
      </c>
    </row>
    <row r="33" spans="2:5" x14ac:dyDescent="0.25">
      <c r="B33" s="3" t="s">
        <v>25</v>
      </c>
      <c r="C33" s="3" t="s">
        <v>130</v>
      </c>
      <c r="D33" s="3" t="s">
        <v>131</v>
      </c>
      <c r="E33" s="3"/>
    </row>
    <row r="34" spans="2:5" ht="22.5" x14ac:dyDescent="0.25">
      <c r="B34" s="3" t="s">
        <v>26</v>
      </c>
      <c r="C34" s="3" t="s">
        <v>130</v>
      </c>
      <c r="D34" s="3" t="s">
        <v>131</v>
      </c>
      <c r="E34" s="3" t="s">
        <v>148</v>
      </c>
    </row>
    <row r="35" spans="2:5" ht="22.5" x14ac:dyDescent="0.25">
      <c r="B35" s="3" t="s">
        <v>27</v>
      </c>
      <c r="C35" s="3" t="s">
        <v>45</v>
      </c>
      <c r="D35" s="3"/>
      <c r="E35" s="3" t="s">
        <v>149</v>
      </c>
    </row>
    <row r="36" spans="2:5" ht="22.5" x14ac:dyDescent="0.25">
      <c r="B36" s="3" t="s">
        <v>28</v>
      </c>
      <c r="C36" s="3" t="s">
        <v>45</v>
      </c>
      <c r="D36" s="3"/>
      <c r="E36" s="3" t="s">
        <v>150</v>
      </c>
    </row>
    <row r="37" spans="2:5" ht="22.5" x14ac:dyDescent="0.25">
      <c r="B37" s="3" t="s">
        <v>30</v>
      </c>
      <c r="C37" s="3" t="s">
        <v>44</v>
      </c>
      <c r="D37" s="3"/>
      <c r="E37" s="3" t="s">
        <v>151</v>
      </c>
    </row>
    <row r="38" spans="2:5" ht="33.75" x14ac:dyDescent="0.25">
      <c r="B38" s="3" t="s">
        <v>31</v>
      </c>
      <c r="C38" s="3" t="s">
        <v>45</v>
      </c>
      <c r="D38" s="3"/>
      <c r="E38" s="3" t="s">
        <v>152</v>
      </c>
    </row>
    <row r="39" spans="2:5" ht="22.5" x14ac:dyDescent="0.25">
      <c r="B39" s="3" t="s">
        <v>32</v>
      </c>
      <c r="C39" s="3" t="s">
        <v>45</v>
      </c>
      <c r="D39" s="3"/>
      <c r="E39" s="3" t="s">
        <v>153</v>
      </c>
    </row>
    <row r="40" spans="2:5" x14ac:dyDescent="0.25">
      <c r="B40" s="3" t="s">
        <v>33</v>
      </c>
      <c r="C40" s="3" t="s">
        <v>44</v>
      </c>
      <c r="D40" s="3"/>
      <c r="E40" s="3"/>
    </row>
    <row r="41" spans="2:5" x14ac:dyDescent="0.25">
      <c r="B41" s="3" t="s">
        <v>34</v>
      </c>
      <c r="C41" s="3" t="s">
        <v>154</v>
      </c>
      <c r="D41" s="3" t="s">
        <v>126</v>
      </c>
      <c r="E41" s="3"/>
    </row>
    <row r="42" spans="2:5" ht="22.5" x14ac:dyDescent="0.25">
      <c r="B42" s="3" t="s">
        <v>8</v>
      </c>
      <c r="C42" s="3" t="s">
        <v>125</v>
      </c>
      <c r="D42" s="3" t="s">
        <v>126</v>
      </c>
      <c r="E42" s="3" t="s">
        <v>155</v>
      </c>
    </row>
    <row r="43" spans="2:5" ht="22.5" x14ac:dyDescent="0.25">
      <c r="B43" s="3" t="s">
        <v>9</v>
      </c>
      <c r="C43" s="3" t="s">
        <v>125</v>
      </c>
      <c r="D43" s="3" t="s">
        <v>127</v>
      </c>
      <c r="E43" s="3" t="s">
        <v>156</v>
      </c>
    </row>
    <row r="45" spans="2:5" x14ac:dyDescent="0.25">
      <c r="B45" s="16" t="s">
        <v>427</v>
      </c>
    </row>
    <row r="46" spans="2:5" x14ac:dyDescent="0.25">
      <c r="B46" s="2" t="s">
        <v>40</v>
      </c>
      <c r="C46" s="2" t="s">
        <v>41</v>
      </c>
      <c r="D46" s="2" t="s">
        <v>42</v>
      </c>
      <c r="E46" s="2" t="s">
        <v>43</v>
      </c>
    </row>
    <row r="47" spans="2:5" x14ac:dyDescent="0.25">
      <c r="B47" s="3" t="s">
        <v>428</v>
      </c>
      <c r="C47" s="3" t="s">
        <v>45</v>
      </c>
      <c r="D47" s="3" t="s">
        <v>429</v>
      </c>
      <c r="E47" s="3"/>
    </row>
    <row r="48" spans="2:5" ht="33.75" x14ac:dyDescent="0.25">
      <c r="B48" s="3" t="s">
        <v>29</v>
      </c>
      <c r="C48" s="3" t="s">
        <v>44</v>
      </c>
      <c r="D48" s="3"/>
      <c r="E48" s="3" t="s">
        <v>430</v>
      </c>
    </row>
    <row r="49" spans="2:5" ht="22.5" x14ac:dyDescent="0.25">
      <c r="B49" s="3" t="s">
        <v>3</v>
      </c>
      <c r="C49" s="3" t="s">
        <v>45</v>
      </c>
      <c r="D49" s="3"/>
      <c r="E49" s="3" t="s">
        <v>431</v>
      </c>
    </row>
    <row r="50" spans="2:5" ht="33.75" x14ac:dyDescent="0.25">
      <c r="B50" s="3" t="s">
        <v>432</v>
      </c>
      <c r="C50" s="3" t="s">
        <v>44</v>
      </c>
      <c r="D50" s="3"/>
      <c r="E50" s="3" t="s">
        <v>433</v>
      </c>
    </row>
    <row r="51" spans="2:5" x14ac:dyDescent="0.25">
      <c r="B51" s="3" t="s">
        <v>245</v>
      </c>
      <c r="C51" s="3" t="s">
        <v>162</v>
      </c>
      <c r="D51" s="3" t="s">
        <v>50</v>
      </c>
      <c r="E51" s="3"/>
    </row>
    <row r="52" spans="2:5" x14ac:dyDescent="0.25">
      <c r="B52" s="3" t="s">
        <v>246</v>
      </c>
      <c r="C52" s="3" t="s">
        <v>162</v>
      </c>
      <c r="D52" s="3" t="s">
        <v>50</v>
      </c>
      <c r="E52" s="3"/>
    </row>
    <row r="53" spans="2:5" ht="22.5" x14ac:dyDescent="0.25">
      <c r="B53" s="3" t="s">
        <v>434</v>
      </c>
      <c r="C53" s="3" t="s">
        <v>106</v>
      </c>
      <c r="D53" s="3" t="s">
        <v>435</v>
      </c>
      <c r="E53" s="3" t="s">
        <v>436</v>
      </c>
    </row>
    <row r="54" spans="2:5" ht="22.5" x14ac:dyDescent="0.25">
      <c r="B54" s="251" t="s">
        <v>23</v>
      </c>
      <c r="C54" s="251" t="s">
        <v>130</v>
      </c>
      <c r="D54" s="251" t="s">
        <v>437</v>
      </c>
      <c r="E54" s="3" t="s">
        <v>438</v>
      </c>
    </row>
    <row r="55" spans="2:5" x14ac:dyDescent="0.25">
      <c r="B55" s="251"/>
      <c r="C55" s="251"/>
      <c r="D55" s="251"/>
      <c r="E55" s="3" t="s">
        <v>439</v>
      </c>
    </row>
    <row r="56" spans="2:5" ht="22.5" x14ac:dyDescent="0.25">
      <c r="B56" s="251" t="s">
        <v>440</v>
      </c>
      <c r="C56" s="251" t="s">
        <v>130</v>
      </c>
      <c r="D56" s="251" t="s">
        <v>437</v>
      </c>
      <c r="E56" s="3" t="s">
        <v>441</v>
      </c>
    </row>
    <row r="57" spans="2:5" x14ac:dyDescent="0.25">
      <c r="B57" s="251"/>
      <c r="C57" s="251"/>
      <c r="D57" s="251"/>
      <c r="E57" s="3" t="s">
        <v>439</v>
      </c>
    </row>
    <row r="58" spans="2:5" x14ac:dyDescent="0.25">
      <c r="B58" s="251" t="s">
        <v>184</v>
      </c>
      <c r="C58" s="251" t="s">
        <v>130</v>
      </c>
      <c r="D58" s="251" t="s">
        <v>437</v>
      </c>
      <c r="E58" s="3" t="s">
        <v>442</v>
      </c>
    </row>
    <row r="59" spans="2:5" x14ac:dyDescent="0.25">
      <c r="B59" s="251"/>
      <c r="C59" s="251"/>
      <c r="D59" s="251"/>
      <c r="E59" s="3" t="s">
        <v>439</v>
      </c>
    </row>
    <row r="60" spans="2:5" x14ac:dyDescent="0.25">
      <c r="B60" s="251" t="s">
        <v>443</v>
      </c>
      <c r="C60" s="251" t="s">
        <v>130</v>
      </c>
      <c r="D60" s="251" t="s">
        <v>437</v>
      </c>
      <c r="E60" s="3" t="s">
        <v>444</v>
      </c>
    </row>
    <row r="61" spans="2:5" x14ac:dyDescent="0.25">
      <c r="B61" s="251"/>
      <c r="C61" s="251"/>
      <c r="D61" s="251"/>
      <c r="E61" s="3" t="s">
        <v>439</v>
      </c>
    </row>
    <row r="62" spans="2:5" x14ac:dyDescent="0.25">
      <c r="B62" s="251" t="s">
        <v>48</v>
      </c>
      <c r="C62" s="251" t="s">
        <v>130</v>
      </c>
      <c r="D62" s="251" t="s">
        <v>437</v>
      </c>
      <c r="E62" s="3" t="s">
        <v>445</v>
      </c>
    </row>
    <row r="63" spans="2:5" x14ac:dyDescent="0.25">
      <c r="B63" s="251"/>
      <c r="C63" s="251"/>
      <c r="D63" s="251"/>
      <c r="E63" s="3" t="s">
        <v>439</v>
      </c>
    </row>
    <row r="64" spans="2:5" x14ac:dyDescent="0.25">
      <c r="B64" s="251" t="s">
        <v>24</v>
      </c>
      <c r="C64" s="251" t="s">
        <v>130</v>
      </c>
      <c r="D64" s="251" t="s">
        <v>437</v>
      </c>
      <c r="E64" s="3" t="s">
        <v>446</v>
      </c>
    </row>
    <row r="65" spans="2:5" x14ac:dyDescent="0.25">
      <c r="B65" s="251"/>
      <c r="C65" s="251"/>
      <c r="D65" s="251"/>
      <c r="E65" s="3" t="s">
        <v>447</v>
      </c>
    </row>
    <row r="66" spans="2:5" ht="33.75" x14ac:dyDescent="0.25">
      <c r="B66" s="3" t="s">
        <v>448</v>
      </c>
      <c r="C66" s="3" t="s">
        <v>130</v>
      </c>
      <c r="D66" s="3" t="s">
        <v>437</v>
      </c>
      <c r="E66" s="3" t="s">
        <v>449</v>
      </c>
    </row>
    <row r="67" spans="2:5" x14ac:dyDescent="0.25">
      <c r="B67" s="3" t="s">
        <v>450</v>
      </c>
      <c r="C67" s="3" t="s">
        <v>162</v>
      </c>
      <c r="D67" s="3"/>
      <c r="E67" s="3"/>
    </row>
    <row r="68" spans="2:5" ht="90" x14ac:dyDescent="0.25">
      <c r="B68" s="3" t="s">
        <v>451</v>
      </c>
      <c r="C68" s="3" t="s">
        <v>260</v>
      </c>
      <c r="D68" s="3" t="s">
        <v>452</v>
      </c>
      <c r="E68" s="3" t="s">
        <v>453</v>
      </c>
    </row>
  </sheetData>
  <sheetProtection algorithmName="SHA-512" hashValue="J1yZ/y5JF5pWc43BxtxPXs6Mrh3B5+X7eq9SS4JfBtCxqcBSHmWX8dydwbqZqr9Si8vaj1kSzgr2PijQGnkjTw==" saltValue="/VoEE5HtZ9T1S5FSMJps4A==" spinCount="100000" sheet="1" objects="1" scenarios="1"/>
  <autoFilter ref="B4:E4" xr:uid="{1E4CDBA9-99DD-499C-B535-216FA110FE24}"/>
  <mergeCells count="18">
    <mergeCell ref="B54:B55"/>
    <mergeCell ref="C54:C55"/>
    <mergeCell ref="D54:D55"/>
    <mergeCell ref="B56:B57"/>
    <mergeCell ref="C56:C57"/>
    <mergeCell ref="D56:D57"/>
    <mergeCell ref="B58:B59"/>
    <mergeCell ref="C58:C59"/>
    <mergeCell ref="D58:D59"/>
    <mergeCell ref="B60:B61"/>
    <mergeCell ref="C60:C61"/>
    <mergeCell ref="D60:D61"/>
    <mergeCell ref="B62:B63"/>
    <mergeCell ref="C62:C63"/>
    <mergeCell ref="D62:D63"/>
    <mergeCell ref="B64:B65"/>
    <mergeCell ref="C64:C65"/>
    <mergeCell ref="D64:D65"/>
  </mergeCells>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7B7CA-E5EF-460B-B088-51B3561F53A1}">
  <dimension ref="C4:F45"/>
  <sheetViews>
    <sheetView topLeftCell="A10" zoomScale="120" zoomScaleNormal="120" workbookViewId="0">
      <selection activeCell="D10" sqref="D10"/>
    </sheetView>
  </sheetViews>
  <sheetFormatPr defaultColWidth="8.42578125" defaultRowHeight="15" x14ac:dyDescent="0.25"/>
  <cols>
    <col min="3" max="3" width="21.42578125" customWidth="1"/>
    <col min="4" max="4" width="22.42578125" customWidth="1"/>
    <col min="5" max="5" width="25.42578125" customWidth="1"/>
    <col min="6" max="6" width="40.42578125" customWidth="1"/>
  </cols>
  <sheetData>
    <row r="4" spans="3:6" x14ac:dyDescent="0.25">
      <c r="C4" t="s">
        <v>426</v>
      </c>
    </row>
    <row r="5" spans="3:6" x14ac:dyDescent="0.25">
      <c r="C5" s="2" t="s">
        <v>40</v>
      </c>
      <c r="D5" s="2" t="s">
        <v>41</v>
      </c>
      <c r="E5" s="2" t="s">
        <v>42</v>
      </c>
      <c r="F5" s="2" t="s">
        <v>43</v>
      </c>
    </row>
    <row r="6" spans="3:6" x14ac:dyDescent="0.25">
      <c r="C6" s="3" t="s">
        <v>57</v>
      </c>
      <c r="D6" s="3" t="s">
        <v>44</v>
      </c>
      <c r="E6" s="3">
        <v>67891</v>
      </c>
      <c r="F6" s="3" t="s">
        <v>58</v>
      </c>
    </row>
    <row r="7" spans="3:6" x14ac:dyDescent="0.25">
      <c r="C7" s="3" t="s">
        <v>59</v>
      </c>
      <c r="D7" s="3" t="s">
        <v>44</v>
      </c>
      <c r="E7" s="3"/>
      <c r="F7" s="3" t="s">
        <v>60</v>
      </c>
    </row>
    <row r="8" spans="3:6" x14ac:dyDescent="0.25">
      <c r="C8" s="3" t="s">
        <v>61</v>
      </c>
      <c r="D8" s="3" t="s">
        <v>45</v>
      </c>
      <c r="E8" s="3"/>
      <c r="F8" s="3" t="s">
        <v>62</v>
      </c>
    </row>
    <row r="9" spans="3:6" x14ac:dyDescent="0.25">
      <c r="C9" s="3" t="s">
        <v>63</v>
      </c>
      <c r="D9" s="3" t="s">
        <v>45</v>
      </c>
      <c r="E9" s="3"/>
      <c r="F9" s="8" t="s">
        <v>64</v>
      </c>
    </row>
    <row r="10" spans="3:6" x14ac:dyDescent="0.25">
      <c r="C10" s="3" t="s">
        <v>65</v>
      </c>
      <c r="D10" s="3" t="s">
        <v>45</v>
      </c>
      <c r="E10" s="3"/>
      <c r="F10" s="3" t="s">
        <v>66</v>
      </c>
    </row>
    <row r="11" spans="3:6" x14ac:dyDescent="0.25">
      <c r="C11" s="3" t="s">
        <v>67</v>
      </c>
      <c r="D11" s="3" t="s">
        <v>45</v>
      </c>
      <c r="E11" s="3"/>
      <c r="F11" s="3" t="s">
        <v>68</v>
      </c>
    </row>
    <row r="12" spans="3:6" x14ac:dyDescent="0.25">
      <c r="C12" s="3" t="s">
        <v>69</v>
      </c>
      <c r="D12" s="3" t="s">
        <v>44</v>
      </c>
      <c r="E12" s="3"/>
      <c r="F12" s="3" t="s">
        <v>70</v>
      </c>
    </row>
    <row r="13" spans="3:6" x14ac:dyDescent="0.25">
      <c r="C13" s="3" t="s">
        <v>71</v>
      </c>
      <c r="D13" s="3" t="s">
        <v>45</v>
      </c>
      <c r="E13" s="3"/>
      <c r="F13" s="3" t="s">
        <v>72</v>
      </c>
    </row>
    <row r="14" spans="3:6" x14ac:dyDescent="0.25">
      <c r="C14" s="3" t="s">
        <v>73</v>
      </c>
      <c r="D14" s="3" t="s">
        <v>44</v>
      </c>
      <c r="E14" s="3"/>
      <c r="F14" s="3" t="s">
        <v>74</v>
      </c>
    </row>
    <row r="15" spans="3:6" x14ac:dyDescent="0.25">
      <c r="C15" s="3" t="s">
        <v>75</v>
      </c>
      <c r="D15" s="3" t="s">
        <v>44</v>
      </c>
      <c r="E15" s="3"/>
      <c r="F15" s="3" t="s">
        <v>76</v>
      </c>
    </row>
    <row r="16" spans="3:6" x14ac:dyDescent="0.25">
      <c r="C16" s="3" t="s">
        <v>77</v>
      </c>
      <c r="D16" s="3" t="s">
        <v>44</v>
      </c>
      <c r="E16" s="3"/>
      <c r="F16" s="3" t="s">
        <v>78</v>
      </c>
    </row>
    <row r="17" spans="3:6" x14ac:dyDescent="0.25">
      <c r="C17" s="3" t="s">
        <v>79</v>
      </c>
      <c r="D17" s="3" t="s">
        <v>44</v>
      </c>
      <c r="E17" s="3"/>
      <c r="F17" s="3" t="s">
        <v>80</v>
      </c>
    </row>
    <row r="18" spans="3:6" x14ac:dyDescent="0.25">
      <c r="C18" s="3" t="s">
        <v>81</v>
      </c>
      <c r="D18" s="3" t="s">
        <v>44</v>
      </c>
      <c r="E18" s="3"/>
      <c r="F18" s="3" t="s">
        <v>82</v>
      </c>
    </row>
    <row r="19" spans="3:6" ht="33.75" x14ac:dyDescent="0.25">
      <c r="C19" s="3" t="s">
        <v>83</v>
      </c>
      <c r="D19" s="3" t="s">
        <v>49</v>
      </c>
      <c r="E19" s="3" t="s">
        <v>50</v>
      </c>
      <c r="F19" s="3" t="s">
        <v>333</v>
      </c>
    </row>
    <row r="20" spans="3:6" x14ac:dyDescent="0.25">
      <c r="C20" s="3" t="s">
        <v>84</v>
      </c>
      <c r="D20" s="3" t="s">
        <v>45</v>
      </c>
      <c r="E20" s="3"/>
      <c r="F20" s="3" t="s">
        <v>85</v>
      </c>
    </row>
    <row r="21" spans="3:6" x14ac:dyDescent="0.25">
      <c r="C21" s="3" t="s">
        <v>86</v>
      </c>
      <c r="D21" s="3" t="s">
        <v>44</v>
      </c>
      <c r="E21" s="3"/>
      <c r="F21" s="3" t="s">
        <v>87</v>
      </c>
    </row>
    <row r="22" spans="3:6" ht="45" x14ac:dyDescent="0.25">
      <c r="C22" s="3" t="s">
        <v>88</v>
      </c>
      <c r="D22" s="3" t="s">
        <v>44</v>
      </c>
      <c r="E22" s="3"/>
      <c r="F22" s="3" t="s">
        <v>89</v>
      </c>
    </row>
    <row r="23" spans="3:6" ht="45" x14ac:dyDescent="0.25">
      <c r="C23" s="3" t="s">
        <v>90</v>
      </c>
      <c r="D23" s="3" t="s">
        <v>44</v>
      </c>
      <c r="E23" s="3"/>
      <c r="F23" s="3" t="s">
        <v>91</v>
      </c>
    </row>
    <row r="24" spans="3:6" x14ac:dyDescent="0.25">
      <c r="C24" s="3" t="s">
        <v>14</v>
      </c>
      <c r="D24" s="3" t="s">
        <v>44</v>
      </c>
      <c r="E24" s="3"/>
      <c r="F24" s="3" t="s">
        <v>92</v>
      </c>
    </row>
    <row r="25" spans="3:6" ht="22.5" x14ac:dyDescent="0.25">
      <c r="C25" s="3" t="s">
        <v>55</v>
      </c>
      <c r="D25" s="3" t="s">
        <v>45</v>
      </c>
      <c r="E25" s="3"/>
      <c r="F25" s="3" t="s">
        <v>93</v>
      </c>
    </row>
    <row r="26" spans="3:6" ht="22.5" x14ac:dyDescent="0.25">
      <c r="C26" s="3" t="s">
        <v>94</v>
      </c>
      <c r="D26" s="3" t="s">
        <v>44</v>
      </c>
      <c r="E26" s="3"/>
      <c r="F26" s="3" t="s">
        <v>95</v>
      </c>
    </row>
    <row r="27" spans="3:6" x14ac:dyDescent="0.25">
      <c r="C27" s="3" t="s">
        <v>96</v>
      </c>
      <c r="D27" s="3" t="s">
        <v>45</v>
      </c>
      <c r="E27" s="3"/>
      <c r="F27" s="3" t="s">
        <v>51</v>
      </c>
    </row>
    <row r="28" spans="3:6" x14ac:dyDescent="0.25">
      <c r="C28" s="3" t="s">
        <v>97</v>
      </c>
      <c r="D28" s="3" t="s">
        <v>45</v>
      </c>
      <c r="E28" s="3"/>
      <c r="F28" s="3" t="s">
        <v>98</v>
      </c>
    </row>
    <row r="29" spans="3:6" x14ac:dyDescent="0.25">
      <c r="C29" s="3" t="s">
        <v>99</v>
      </c>
      <c r="D29" s="3" t="s">
        <v>45</v>
      </c>
      <c r="E29" s="3"/>
      <c r="F29" s="3" t="s">
        <v>99</v>
      </c>
    </row>
    <row r="30" spans="3:6" x14ac:dyDescent="0.25">
      <c r="C30" s="3" t="s">
        <v>100</v>
      </c>
      <c r="D30" s="3" t="s">
        <v>45</v>
      </c>
      <c r="E30" s="3"/>
      <c r="F30" s="3" t="s">
        <v>46</v>
      </c>
    </row>
    <row r="31" spans="3:6" x14ac:dyDescent="0.25">
      <c r="C31" s="3" t="s">
        <v>101</v>
      </c>
      <c r="D31" s="3" t="s">
        <v>45</v>
      </c>
      <c r="E31" s="3"/>
      <c r="F31" s="3" t="s">
        <v>101</v>
      </c>
    </row>
    <row r="32" spans="3:6" x14ac:dyDescent="0.25">
      <c r="C32" s="3" t="s">
        <v>102</v>
      </c>
      <c r="D32" s="3" t="s">
        <v>44</v>
      </c>
      <c r="E32" s="3"/>
      <c r="F32" s="3" t="s">
        <v>102</v>
      </c>
    </row>
    <row r="33" spans="3:6" x14ac:dyDescent="0.25">
      <c r="C33" s="3" t="s">
        <v>103</v>
      </c>
      <c r="D33" s="3" t="s">
        <v>45</v>
      </c>
      <c r="E33" s="3"/>
      <c r="F33" s="3" t="s">
        <v>104</v>
      </c>
    </row>
    <row r="34" spans="3:6" x14ac:dyDescent="0.25">
      <c r="C34" s="3" t="s">
        <v>105</v>
      </c>
      <c r="D34" s="3" t="s">
        <v>106</v>
      </c>
      <c r="E34" s="3"/>
      <c r="F34" s="3" t="s">
        <v>107</v>
      </c>
    </row>
    <row r="35" spans="3:6" x14ac:dyDescent="0.25">
      <c r="C35" s="3" t="s">
        <v>108</v>
      </c>
      <c r="D35" s="3" t="s">
        <v>109</v>
      </c>
      <c r="E35" s="3"/>
      <c r="F35" s="3" t="s">
        <v>110</v>
      </c>
    </row>
    <row r="36" spans="3:6" x14ac:dyDescent="0.25">
      <c r="C36" s="3" t="s">
        <v>111</v>
      </c>
      <c r="D36" s="3" t="s">
        <v>56</v>
      </c>
      <c r="E36" s="3"/>
      <c r="F36" s="3" t="s">
        <v>112</v>
      </c>
    </row>
    <row r="37" spans="3:6" ht="22.5" x14ac:dyDescent="0.25">
      <c r="C37" s="3" t="s">
        <v>113</v>
      </c>
      <c r="D37" s="3" t="s">
        <v>114</v>
      </c>
      <c r="E37" s="3"/>
      <c r="F37" s="3" t="s">
        <v>115</v>
      </c>
    </row>
    <row r="38" spans="3:6" ht="22.5" x14ac:dyDescent="0.25">
      <c r="C38" s="3" t="s">
        <v>116</v>
      </c>
      <c r="D38" s="3" t="s">
        <v>117</v>
      </c>
      <c r="E38" s="3"/>
      <c r="F38" s="3" t="s">
        <v>115</v>
      </c>
    </row>
    <row r="39" spans="3:6" ht="22.5" x14ac:dyDescent="0.25">
      <c r="C39" s="3" t="s">
        <v>118</v>
      </c>
      <c r="D39" s="3" t="s">
        <v>119</v>
      </c>
      <c r="E39" s="3"/>
      <c r="F39" s="3" t="s">
        <v>120</v>
      </c>
    </row>
    <row r="40" spans="3:6" x14ac:dyDescent="0.25">
      <c r="C40" s="27" t="s">
        <v>121</v>
      </c>
      <c r="D40" s="3" t="s">
        <v>44</v>
      </c>
      <c r="E40" s="3"/>
      <c r="F40" s="3" t="s">
        <v>122</v>
      </c>
    </row>
    <row r="41" spans="3:6" x14ac:dyDescent="0.25">
      <c r="C41" s="5"/>
    </row>
    <row r="42" spans="3:6" ht="15.75" thickBot="1" x14ac:dyDescent="0.3">
      <c r="C42" t="s">
        <v>427</v>
      </c>
    </row>
    <row r="43" spans="3:6" ht="15.75" thickBot="1" x14ac:dyDescent="0.3">
      <c r="C43" s="4" t="s">
        <v>40</v>
      </c>
      <c r="D43" s="4" t="s">
        <v>41</v>
      </c>
      <c r="E43" s="4" t="s">
        <v>42</v>
      </c>
      <c r="F43" s="4" t="s">
        <v>43</v>
      </c>
    </row>
    <row r="44" spans="3:6" ht="23.25" thickBot="1" x14ac:dyDescent="0.3">
      <c r="C44" s="9" t="s">
        <v>428</v>
      </c>
      <c r="D44" s="9" t="s">
        <v>45</v>
      </c>
      <c r="E44" s="9" t="s">
        <v>429</v>
      </c>
      <c r="F44" s="9" t="s">
        <v>503</v>
      </c>
    </row>
    <row r="45" spans="3:6" ht="34.5" thickBot="1" x14ac:dyDescent="0.3">
      <c r="C45" s="9" t="s">
        <v>502</v>
      </c>
      <c r="D45" s="9" t="s">
        <v>45</v>
      </c>
      <c r="E45" s="9" t="s">
        <v>504</v>
      </c>
      <c r="F45" s="9" t="s">
        <v>505</v>
      </c>
    </row>
  </sheetData>
  <sheetProtection algorithmName="SHA-512" hashValue="t0V43CxWjXXrxeM5fPJsTZJvJdPG9wkA1cZ0fGbVpQI5NbBd9L50zx/wIdbMWVa+JAOzvYJA72IcXuFliS2eMg==" saltValue="pzB8Uwf3hHGE/sVDuVAY6g==" spinCount="100000" sheet="1" objects="1" scenarios="1"/>
  <autoFilter ref="C5:F5" xr:uid="{4F5093A9-7496-4C4A-AE1C-1D5F0AB9721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EFB25-7BED-409D-89ED-A7F4F343C203}">
  <dimension ref="A1:E75"/>
  <sheetViews>
    <sheetView zoomScale="115" zoomScaleNormal="115" workbookViewId="0">
      <selection activeCell="C11" sqref="C11"/>
    </sheetView>
  </sheetViews>
  <sheetFormatPr defaultColWidth="8.42578125" defaultRowHeight="15" x14ac:dyDescent="0.25"/>
  <cols>
    <col min="1" max="1" width="4" customWidth="1"/>
    <col min="2" max="2" width="28.42578125" customWidth="1"/>
    <col min="3" max="3" width="20.42578125" customWidth="1"/>
    <col min="4" max="4" width="26" customWidth="1"/>
    <col min="5" max="5" width="52.42578125" customWidth="1"/>
  </cols>
  <sheetData>
    <row r="1" spans="1:5" ht="15.75" thickBot="1" x14ac:dyDescent="0.3">
      <c r="A1" t="s">
        <v>737</v>
      </c>
      <c r="B1" t="s">
        <v>426</v>
      </c>
    </row>
    <row r="2" spans="1:5" x14ac:dyDescent="0.25">
      <c r="B2" s="13" t="s">
        <v>40</v>
      </c>
      <c r="C2" s="13" t="s">
        <v>41</v>
      </c>
      <c r="D2" s="13" t="s">
        <v>42</v>
      </c>
      <c r="E2" s="13" t="s">
        <v>43</v>
      </c>
    </row>
    <row r="3" spans="1:5" x14ac:dyDescent="0.25">
      <c r="B3" s="3" t="s">
        <v>261</v>
      </c>
      <c r="C3" s="3" t="s">
        <v>262</v>
      </c>
      <c r="D3" s="11"/>
      <c r="E3" s="3" t="s">
        <v>263</v>
      </c>
    </row>
    <row r="4" spans="1:5" x14ac:dyDescent="0.25">
      <c r="B4" s="3" t="s">
        <v>264</v>
      </c>
      <c r="C4" s="3" t="s">
        <v>44</v>
      </c>
      <c r="D4" s="3">
        <v>123</v>
      </c>
      <c r="E4" s="11"/>
    </row>
    <row r="5" spans="1:5" x14ac:dyDescent="0.25">
      <c r="B5" s="3" t="s">
        <v>265</v>
      </c>
      <c r="C5" s="3" t="s">
        <v>45</v>
      </c>
      <c r="D5" s="3" t="s">
        <v>266</v>
      </c>
      <c r="E5" s="11"/>
    </row>
    <row r="6" spans="1:5" x14ac:dyDescent="0.25">
      <c r="B6" s="3" t="s">
        <v>267</v>
      </c>
      <c r="C6" s="3" t="s">
        <v>44</v>
      </c>
      <c r="D6" s="3">
        <v>123</v>
      </c>
      <c r="E6" s="11"/>
    </row>
    <row r="7" spans="1:5" x14ac:dyDescent="0.25">
      <c r="B7" s="3" t="s">
        <v>268</v>
      </c>
      <c r="C7" s="3" t="s">
        <v>45</v>
      </c>
      <c r="D7" s="3">
        <v>1000</v>
      </c>
      <c r="E7" s="11"/>
    </row>
    <row r="8" spans="1:5" x14ac:dyDescent="0.25">
      <c r="B8" s="3" t="s">
        <v>269</v>
      </c>
      <c r="C8" s="3" t="s">
        <v>45</v>
      </c>
      <c r="D8" s="3" t="s">
        <v>270</v>
      </c>
      <c r="E8" s="11"/>
    </row>
    <row r="9" spans="1:5" x14ac:dyDescent="0.25">
      <c r="B9" s="3" t="s">
        <v>271</v>
      </c>
      <c r="C9" s="3" t="s">
        <v>45</v>
      </c>
      <c r="D9" s="3">
        <v>100100</v>
      </c>
      <c r="E9" s="11"/>
    </row>
    <row r="10" spans="1:5" x14ac:dyDescent="0.25">
      <c r="B10" s="3" t="s">
        <v>272</v>
      </c>
      <c r="C10" s="3" t="s">
        <v>44</v>
      </c>
      <c r="D10" s="3">
        <v>0</v>
      </c>
      <c r="E10" s="11"/>
    </row>
    <row r="11" spans="1:5" x14ac:dyDescent="0.25">
      <c r="B11" s="3" t="s">
        <v>273</v>
      </c>
      <c r="C11" s="3" t="s">
        <v>49</v>
      </c>
      <c r="D11" s="14">
        <v>42005</v>
      </c>
      <c r="E11" s="11"/>
    </row>
    <row r="12" spans="1:5" x14ac:dyDescent="0.25">
      <c r="B12" s="3" t="s">
        <v>274</v>
      </c>
      <c r="C12" s="3" t="s">
        <v>45</v>
      </c>
      <c r="D12" s="3">
        <v>2000</v>
      </c>
      <c r="E12" s="3" t="s">
        <v>275</v>
      </c>
    </row>
    <row r="13" spans="1:5" x14ac:dyDescent="0.25">
      <c r="B13" s="3" t="s">
        <v>276</v>
      </c>
      <c r="C13" s="3" t="s">
        <v>45</v>
      </c>
      <c r="D13" s="15">
        <v>0.375</v>
      </c>
      <c r="E13" s="11"/>
    </row>
    <row r="14" spans="1:5" x14ac:dyDescent="0.25">
      <c r="B14" s="3" t="s">
        <v>277</v>
      </c>
      <c r="C14" s="3" t="s">
        <v>45</v>
      </c>
      <c r="D14" s="15">
        <v>0.625</v>
      </c>
      <c r="E14" s="11"/>
    </row>
    <row r="15" spans="1:5" x14ac:dyDescent="0.25">
      <c r="B15" s="3" t="s">
        <v>278</v>
      </c>
      <c r="C15" s="3" t="s">
        <v>128</v>
      </c>
      <c r="D15" s="3" t="s">
        <v>279</v>
      </c>
      <c r="E15" s="11"/>
    </row>
    <row r="16" spans="1:5" ht="33.75" x14ac:dyDescent="0.25">
      <c r="B16" s="3" t="s">
        <v>280</v>
      </c>
      <c r="C16" s="3" t="s">
        <v>130</v>
      </c>
      <c r="D16" s="3" t="b">
        <v>1</v>
      </c>
      <c r="E16" s="3" t="s">
        <v>329</v>
      </c>
    </row>
    <row r="17" spans="2:5" ht="22.5" x14ac:dyDescent="0.25">
      <c r="B17" s="3" t="s">
        <v>281</v>
      </c>
      <c r="C17" s="3" t="s">
        <v>130</v>
      </c>
      <c r="D17" s="3" t="b">
        <v>0</v>
      </c>
      <c r="E17" s="3" t="s">
        <v>328</v>
      </c>
    </row>
    <row r="18" spans="2:5" ht="22.5" x14ac:dyDescent="0.25">
      <c r="B18" s="3" t="s">
        <v>282</v>
      </c>
      <c r="C18" s="3" t="s">
        <v>130</v>
      </c>
      <c r="D18" s="3" t="b">
        <v>0</v>
      </c>
      <c r="E18" s="3" t="s">
        <v>327</v>
      </c>
    </row>
    <row r="19" spans="2:5" ht="33.75" x14ac:dyDescent="0.25">
      <c r="B19" s="3" t="s">
        <v>283</v>
      </c>
      <c r="C19" s="3" t="s">
        <v>130</v>
      </c>
      <c r="D19" s="3" t="b">
        <v>0</v>
      </c>
      <c r="E19" s="3" t="s">
        <v>326</v>
      </c>
    </row>
    <row r="20" spans="2:5" x14ac:dyDescent="0.25">
      <c r="B20" s="3" t="s">
        <v>284</v>
      </c>
      <c r="C20" s="3" t="s">
        <v>45</v>
      </c>
      <c r="D20" s="11"/>
      <c r="E20" s="11"/>
    </row>
    <row r="21" spans="2:5" x14ac:dyDescent="0.25">
      <c r="B21" s="3" t="s">
        <v>285</v>
      </c>
      <c r="C21" s="3" t="s">
        <v>45</v>
      </c>
      <c r="D21" s="11"/>
      <c r="E21" s="11"/>
    </row>
    <row r="22" spans="2:5" x14ac:dyDescent="0.25">
      <c r="B22" s="3" t="s">
        <v>286</v>
      </c>
      <c r="C22" s="3" t="s">
        <v>45</v>
      </c>
      <c r="D22" s="11"/>
      <c r="E22" s="11"/>
    </row>
    <row r="23" spans="2:5" ht="22.5" x14ac:dyDescent="0.25">
      <c r="B23" s="3" t="s">
        <v>287</v>
      </c>
      <c r="C23" s="3" t="s">
        <v>45</v>
      </c>
      <c r="D23" s="11"/>
      <c r="E23" s="11"/>
    </row>
    <row r="24" spans="2:5" ht="22.5" x14ac:dyDescent="0.25">
      <c r="B24" s="3" t="s">
        <v>288</v>
      </c>
      <c r="C24" s="3" t="s">
        <v>45</v>
      </c>
      <c r="D24" s="11"/>
      <c r="E24" s="11"/>
    </row>
    <row r="25" spans="2:5" ht="22.5" x14ac:dyDescent="0.25">
      <c r="B25" s="3" t="s">
        <v>289</v>
      </c>
      <c r="C25" s="3" t="s">
        <v>45</v>
      </c>
      <c r="D25" s="11"/>
      <c r="E25" s="11"/>
    </row>
    <row r="26" spans="2:5" ht="22.5" x14ac:dyDescent="0.25">
      <c r="B26" s="3" t="s">
        <v>290</v>
      </c>
      <c r="C26" s="3" t="s">
        <v>45</v>
      </c>
      <c r="D26" s="11"/>
      <c r="E26" s="11"/>
    </row>
    <row r="27" spans="2:5" ht="22.5" x14ac:dyDescent="0.25">
      <c r="B27" s="3" t="s">
        <v>291</v>
      </c>
      <c r="C27" s="3" t="s">
        <v>45</v>
      </c>
      <c r="D27" s="11"/>
      <c r="E27" s="11"/>
    </row>
    <row r="28" spans="2:5" x14ac:dyDescent="0.25">
      <c r="B28" s="3" t="s">
        <v>292</v>
      </c>
      <c r="C28" s="3" t="s">
        <v>45</v>
      </c>
      <c r="D28" s="11"/>
      <c r="E28" s="11"/>
    </row>
    <row r="29" spans="2:5" x14ac:dyDescent="0.25">
      <c r="B29" s="3" t="s">
        <v>293</v>
      </c>
      <c r="C29" s="3" t="s">
        <v>45</v>
      </c>
      <c r="D29" s="11"/>
      <c r="E29" s="11"/>
    </row>
    <row r="30" spans="2:5" x14ac:dyDescent="0.25">
      <c r="B30" s="3" t="s">
        <v>294</v>
      </c>
      <c r="C30" s="3" t="s">
        <v>45</v>
      </c>
      <c r="D30" s="11"/>
      <c r="E30" s="11"/>
    </row>
    <row r="31" spans="2:5" x14ac:dyDescent="0.25">
      <c r="B31" s="3" t="s">
        <v>295</v>
      </c>
      <c r="C31" s="3" t="s">
        <v>45</v>
      </c>
      <c r="D31" s="11"/>
      <c r="E31" s="11"/>
    </row>
    <row r="32" spans="2:5" x14ac:dyDescent="0.25">
      <c r="B32" s="3" t="s">
        <v>296</v>
      </c>
      <c r="C32" s="3" t="s">
        <v>45</v>
      </c>
      <c r="D32" s="11"/>
      <c r="E32" s="11"/>
    </row>
    <row r="33" spans="2:5" x14ac:dyDescent="0.25">
      <c r="B33" s="3" t="s">
        <v>297</v>
      </c>
      <c r="C33" s="3" t="s">
        <v>44</v>
      </c>
      <c r="D33" s="11"/>
      <c r="E33" s="11"/>
    </row>
    <row r="34" spans="2:5" x14ac:dyDescent="0.25">
      <c r="B34" s="3" t="s">
        <v>298</v>
      </c>
      <c r="C34" s="3" t="s">
        <v>45</v>
      </c>
      <c r="D34" s="11"/>
      <c r="E34" s="11"/>
    </row>
    <row r="35" spans="2:5" x14ac:dyDescent="0.25">
      <c r="B35" s="3" t="s">
        <v>299</v>
      </c>
      <c r="C35" s="3" t="s">
        <v>44</v>
      </c>
      <c r="D35" s="11"/>
      <c r="E35" s="3" t="s">
        <v>300</v>
      </c>
    </row>
    <row r="36" spans="2:5" x14ac:dyDescent="0.25">
      <c r="B36" s="3" t="s">
        <v>301</v>
      </c>
      <c r="C36" s="3" t="s">
        <v>44</v>
      </c>
      <c r="D36" s="11"/>
      <c r="E36" s="3" t="s">
        <v>302</v>
      </c>
    </row>
    <row r="37" spans="2:5" ht="36" customHeight="1" x14ac:dyDescent="0.25">
      <c r="B37" s="3" t="s">
        <v>303</v>
      </c>
      <c r="C37" s="3" t="s">
        <v>49</v>
      </c>
      <c r="D37" s="14">
        <v>42125</v>
      </c>
      <c r="E37" s="11"/>
    </row>
    <row r="38" spans="2:5" ht="22.5" x14ac:dyDescent="0.25">
      <c r="B38" s="3" t="s">
        <v>304</v>
      </c>
      <c r="C38" s="3" t="s">
        <v>44</v>
      </c>
      <c r="D38" s="11"/>
      <c r="E38" s="3" t="s">
        <v>305</v>
      </c>
    </row>
    <row r="39" spans="2:5" x14ac:dyDescent="0.25">
      <c r="B39" s="3" t="s">
        <v>306</v>
      </c>
      <c r="C39" s="3" t="s">
        <v>44</v>
      </c>
      <c r="D39" s="11"/>
      <c r="E39" s="3" t="s">
        <v>307</v>
      </c>
    </row>
    <row r="40" spans="2:5" ht="27" customHeight="1" x14ac:dyDescent="0.25">
      <c r="B40" s="3" t="s">
        <v>308</v>
      </c>
      <c r="C40" s="3" t="s">
        <v>49</v>
      </c>
      <c r="D40" s="14">
        <v>42125</v>
      </c>
      <c r="E40" s="11"/>
    </row>
    <row r="41" spans="2:5" x14ac:dyDescent="0.25">
      <c r="B41" s="3" t="s">
        <v>309</v>
      </c>
      <c r="C41" s="3" t="s">
        <v>130</v>
      </c>
      <c r="D41" s="11"/>
      <c r="E41" s="11"/>
    </row>
    <row r="42" spans="2:5" x14ac:dyDescent="0.25">
      <c r="B42" s="3" t="s">
        <v>310</v>
      </c>
      <c r="C42" s="3" t="s">
        <v>128</v>
      </c>
      <c r="D42" s="11"/>
      <c r="E42" s="3" t="s">
        <v>311</v>
      </c>
    </row>
    <row r="43" spans="2:5" x14ac:dyDescent="0.25">
      <c r="B43" s="3" t="s">
        <v>312</v>
      </c>
      <c r="C43" s="3" t="s">
        <v>128</v>
      </c>
      <c r="D43" s="11"/>
      <c r="E43" s="3" t="s">
        <v>311</v>
      </c>
    </row>
    <row r="44" spans="2:5" x14ac:dyDescent="0.25">
      <c r="B44" s="3" t="s">
        <v>313</v>
      </c>
      <c r="C44" s="3" t="s">
        <v>128</v>
      </c>
      <c r="D44" s="11"/>
      <c r="E44" s="3" t="s">
        <v>311</v>
      </c>
    </row>
    <row r="45" spans="2:5" x14ac:dyDescent="0.25">
      <c r="B45" s="3" t="s">
        <v>314</v>
      </c>
      <c r="C45" s="3" t="s">
        <v>128</v>
      </c>
      <c r="D45" s="11"/>
      <c r="E45" s="3" t="s">
        <v>311</v>
      </c>
    </row>
    <row r="46" spans="2:5" x14ac:dyDescent="0.25">
      <c r="B46" s="3" t="s">
        <v>241</v>
      </c>
      <c r="C46" s="3" t="s">
        <v>315</v>
      </c>
      <c r="D46" s="11"/>
      <c r="E46" s="3" t="s">
        <v>330</v>
      </c>
    </row>
    <row r="48" spans="2:5" ht="21.75" thickBot="1" x14ac:dyDescent="0.3">
      <c r="B48" s="12" t="s">
        <v>316</v>
      </c>
    </row>
    <row r="49" spans="2:5" ht="15.75" thickBot="1" x14ac:dyDescent="0.3">
      <c r="B49" s="4" t="s">
        <v>40</v>
      </c>
      <c r="C49" s="4" t="s">
        <v>41</v>
      </c>
      <c r="D49" s="4" t="s">
        <v>42</v>
      </c>
      <c r="E49" s="4" t="s">
        <v>43</v>
      </c>
    </row>
    <row r="50" spans="2:5" ht="15.75" thickBot="1" x14ac:dyDescent="0.3">
      <c r="B50" s="9" t="s">
        <v>317</v>
      </c>
      <c r="C50" s="9" t="s">
        <v>45</v>
      </c>
      <c r="D50" s="10"/>
      <c r="E50" s="10"/>
    </row>
    <row r="51" spans="2:5" ht="15.75" thickBot="1" x14ac:dyDescent="0.3">
      <c r="B51" s="9" t="s">
        <v>318</v>
      </c>
      <c r="C51" s="9" t="s">
        <v>45</v>
      </c>
      <c r="D51" s="10"/>
      <c r="E51" s="10"/>
    </row>
    <row r="52" spans="2:5" ht="15.75" thickBot="1" x14ac:dyDescent="0.3">
      <c r="B52" s="9" t="s">
        <v>319</v>
      </c>
      <c r="C52" s="9" t="s">
        <v>45</v>
      </c>
      <c r="D52" s="10"/>
      <c r="E52" s="10"/>
    </row>
    <row r="53" spans="2:5" ht="15.75" thickBot="1" x14ac:dyDescent="0.3">
      <c r="B53" s="9" t="s">
        <v>320</v>
      </c>
      <c r="C53" s="9" t="s">
        <v>45</v>
      </c>
      <c r="D53" s="10"/>
      <c r="E53" s="10"/>
    </row>
    <row r="54" spans="2:5" ht="15.75" thickBot="1" x14ac:dyDescent="0.3">
      <c r="B54" s="9" t="s">
        <v>321</v>
      </c>
      <c r="C54" s="9" t="s">
        <v>45</v>
      </c>
      <c r="D54" s="10"/>
      <c r="E54" s="10"/>
    </row>
    <row r="55" spans="2:5" ht="15.75" thickBot="1" x14ac:dyDescent="0.3">
      <c r="B55" s="9" t="s">
        <v>322</v>
      </c>
      <c r="C55" s="9" t="s">
        <v>323</v>
      </c>
      <c r="D55" s="10"/>
      <c r="E55" s="10"/>
    </row>
    <row r="60" spans="2:5" ht="21" x14ac:dyDescent="0.25">
      <c r="B60" s="12" t="s">
        <v>454</v>
      </c>
    </row>
    <row r="61" spans="2:5" x14ac:dyDescent="0.25">
      <c r="B61" s="2" t="s">
        <v>40</v>
      </c>
      <c r="C61" s="2" t="s">
        <v>41</v>
      </c>
      <c r="D61" s="2" t="s">
        <v>42</v>
      </c>
      <c r="E61" s="2" t="s">
        <v>43</v>
      </c>
    </row>
    <row r="62" spans="2:5" x14ac:dyDescent="0.25">
      <c r="B62" s="3" t="s">
        <v>428</v>
      </c>
      <c r="C62" s="3" t="s">
        <v>45</v>
      </c>
      <c r="D62" s="3" t="s">
        <v>429</v>
      </c>
      <c r="E62" s="3"/>
    </row>
    <row r="63" spans="2:5" x14ac:dyDescent="0.25">
      <c r="B63" s="3" t="s">
        <v>480</v>
      </c>
      <c r="C63" s="3" t="s">
        <v>480</v>
      </c>
      <c r="D63" s="3"/>
      <c r="E63" s="3"/>
    </row>
    <row r="64" spans="2:5" ht="22.5" x14ac:dyDescent="0.25">
      <c r="B64" s="3" t="s">
        <v>481</v>
      </c>
      <c r="C64" s="3" t="s">
        <v>49</v>
      </c>
      <c r="D64" s="14">
        <v>42125</v>
      </c>
      <c r="E64" s="3"/>
    </row>
    <row r="65" spans="2:5" ht="22.5" x14ac:dyDescent="0.25">
      <c r="B65" s="3" t="s">
        <v>482</v>
      </c>
      <c r="C65" s="3" t="s">
        <v>49</v>
      </c>
      <c r="D65" s="14">
        <v>42131</v>
      </c>
      <c r="E65" s="3"/>
    </row>
    <row r="66" spans="2:5" ht="22.5" x14ac:dyDescent="0.25">
      <c r="B66" s="3" t="s">
        <v>483</v>
      </c>
      <c r="C66" s="3" t="s">
        <v>130</v>
      </c>
      <c r="D66" s="3" t="b">
        <v>1</v>
      </c>
      <c r="E66" s="3" t="s">
        <v>484</v>
      </c>
    </row>
    <row r="67" spans="2:5" ht="135" x14ac:dyDescent="0.25">
      <c r="B67" s="3" t="s">
        <v>485</v>
      </c>
      <c r="C67" s="3" t="s">
        <v>45</v>
      </c>
      <c r="D67" s="3" t="s">
        <v>486</v>
      </c>
      <c r="E67" s="3" t="s">
        <v>499</v>
      </c>
    </row>
    <row r="68" spans="2:5" ht="33.75" x14ac:dyDescent="0.25">
      <c r="B68" s="3" t="s">
        <v>487</v>
      </c>
      <c r="C68" s="3" t="s">
        <v>130</v>
      </c>
      <c r="D68" s="3" t="b">
        <v>1</v>
      </c>
      <c r="E68" s="3" t="s">
        <v>488</v>
      </c>
    </row>
    <row r="69" spans="2:5" ht="22.5" x14ac:dyDescent="0.25">
      <c r="B69" s="3" t="s">
        <v>489</v>
      </c>
      <c r="C69" s="3" t="s">
        <v>44</v>
      </c>
      <c r="D69" s="3">
        <v>123</v>
      </c>
      <c r="E69" s="3" t="s">
        <v>490</v>
      </c>
    </row>
    <row r="70" spans="2:5" ht="22.5" x14ac:dyDescent="0.25">
      <c r="B70" s="3" t="s">
        <v>491</v>
      </c>
      <c r="C70" s="3" t="s">
        <v>45</v>
      </c>
      <c r="D70" s="3">
        <v>1000</v>
      </c>
      <c r="E70" s="3" t="s">
        <v>492</v>
      </c>
    </row>
    <row r="71" spans="2:5" ht="22.5" x14ac:dyDescent="0.25">
      <c r="B71" s="3" t="s">
        <v>493</v>
      </c>
      <c r="C71" s="3" t="s">
        <v>130</v>
      </c>
      <c r="D71" s="3" t="b">
        <v>1</v>
      </c>
      <c r="E71" s="3" t="s">
        <v>494</v>
      </c>
    </row>
    <row r="72" spans="2:5" ht="56.25" x14ac:dyDescent="0.25">
      <c r="B72" s="3" t="s">
        <v>495</v>
      </c>
      <c r="C72" s="3" t="s">
        <v>44</v>
      </c>
      <c r="D72" s="3">
        <v>0</v>
      </c>
      <c r="E72" s="3" t="s">
        <v>500</v>
      </c>
    </row>
    <row r="73" spans="2:5" ht="22.5" x14ac:dyDescent="0.25">
      <c r="B73" s="3" t="s">
        <v>496</v>
      </c>
      <c r="C73" s="3" t="s">
        <v>130</v>
      </c>
      <c r="D73" s="3" t="b">
        <v>0</v>
      </c>
      <c r="E73" s="3" t="s">
        <v>497</v>
      </c>
    </row>
    <row r="74" spans="2:5" ht="78.75" x14ac:dyDescent="0.25">
      <c r="B74" s="3" t="s">
        <v>498</v>
      </c>
      <c r="C74" s="3" t="s">
        <v>44</v>
      </c>
      <c r="D74" s="3">
        <v>2</v>
      </c>
      <c r="E74" s="3" t="s">
        <v>501</v>
      </c>
    </row>
    <row r="75" spans="2:5" x14ac:dyDescent="0.25">
      <c r="B75" s="3" t="s">
        <v>464</v>
      </c>
      <c r="C75" s="3" t="s">
        <v>130</v>
      </c>
      <c r="D75" s="3"/>
      <c r="E75" s="3"/>
    </row>
  </sheetData>
  <sheetProtection algorithmName="SHA-512" hashValue="70l3xtCicDXfhldUTz+rM3ZeRHULpG0qgZ7vuvhUnTe7I35ulINk/j78yLXF3q7Xqw0TlTptNSUWb/Ii/jmHtQ==" saltValue="PuQ/h02Ue1g+lnqhIV4kIA==" spinCount="100000" sheet="1" objects="1" scenarios="1"/>
  <autoFilter ref="B2:E46" xr:uid="{CD38B511-B3AC-412E-90DA-DDB5C623A678}"/>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F2194-3C96-48C4-B451-F97B30F4F7AF}">
  <dimension ref="C2:F37"/>
  <sheetViews>
    <sheetView topLeftCell="B3" workbookViewId="0">
      <selection activeCell="C20" sqref="C20"/>
    </sheetView>
  </sheetViews>
  <sheetFormatPr defaultColWidth="8.42578125" defaultRowHeight="15" x14ac:dyDescent="0.25"/>
  <cols>
    <col min="3" max="3" width="24.42578125" customWidth="1"/>
    <col min="4" max="4" width="22" customWidth="1"/>
    <col min="5" max="5" width="24.42578125" customWidth="1"/>
    <col min="6" max="6" width="108.42578125" bestFit="1" customWidth="1"/>
    <col min="7" max="7" width="24.42578125" customWidth="1"/>
  </cols>
  <sheetData>
    <row r="2" spans="3:6" x14ac:dyDescent="0.25">
      <c r="C2" t="s">
        <v>479</v>
      </c>
    </row>
    <row r="3" spans="3:6" x14ac:dyDescent="0.25">
      <c r="C3" s="19" t="s">
        <v>767</v>
      </c>
      <c r="D3" s="19" t="s">
        <v>508</v>
      </c>
      <c r="E3" s="19" t="s">
        <v>509</v>
      </c>
      <c r="F3" s="20" t="s">
        <v>510</v>
      </c>
    </row>
    <row r="4" spans="3:6" x14ac:dyDescent="0.25">
      <c r="C4" s="7" t="s">
        <v>768</v>
      </c>
      <c r="D4" s="7"/>
      <c r="E4" s="7" t="s">
        <v>511</v>
      </c>
      <c r="F4" s="21" t="s">
        <v>511</v>
      </c>
    </row>
    <row r="5" spans="3:6" x14ac:dyDescent="0.25">
      <c r="C5" s="7" t="s">
        <v>769</v>
      </c>
      <c r="D5" s="7"/>
      <c r="E5" s="7" t="s">
        <v>512</v>
      </c>
      <c r="F5" s="21">
        <v>100010</v>
      </c>
    </row>
    <row r="6" spans="3:6" x14ac:dyDescent="0.25">
      <c r="C6" s="7" t="s">
        <v>768</v>
      </c>
      <c r="D6" s="7"/>
      <c r="E6" s="7" t="s">
        <v>513</v>
      </c>
      <c r="F6" s="21" t="s">
        <v>513</v>
      </c>
    </row>
    <row r="7" spans="3:6" x14ac:dyDescent="0.25">
      <c r="C7" s="7" t="s">
        <v>769</v>
      </c>
      <c r="D7" s="7"/>
      <c r="E7" s="22" t="s">
        <v>514</v>
      </c>
      <c r="F7" s="23">
        <v>79325</v>
      </c>
    </row>
    <row r="8" spans="3:6" x14ac:dyDescent="0.25">
      <c r="C8" s="7" t="s">
        <v>768</v>
      </c>
      <c r="D8" s="7"/>
      <c r="E8" s="7" t="s">
        <v>515</v>
      </c>
      <c r="F8" s="21" t="s">
        <v>515</v>
      </c>
    </row>
    <row r="9" spans="3:6" x14ac:dyDescent="0.25">
      <c r="C9" s="7" t="s">
        <v>769</v>
      </c>
      <c r="D9" s="7"/>
      <c r="E9" s="7" t="s">
        <v>516</v>
      </c>
      <c r="F9" s="21" t="s">
        <v>517</v>
      </c>
    </row>
    <row r="10" spans="3:6" x14ac:dyDescent="0.25">
      <c r="C10" s="7"/>
      <c r="D10" s="7" t="s">
        <v>350</v>
      </c>
      <c r="E10" s="7" t="s">
        <v>350</v>
      </c>
      <c r="F10" s="21" t="s">
        <v>518</v>
      </c>
    </row>
    <row r="11" spans="3:6" x14ac:dyDescent="0.25">
      <c r="C11" s="7"/>
      <c r="D11" s="7" t="s">
        <v>346</v>
      </c>
      <c r="E11" s="7" t="s">
        <v>346</v>
      </c>
      <c r="F11" s="21" t="s">
        <v>35</v>
      </c>
    </row>
    <row r="12" spans="3:6" x14ac:dyDescent="0.25">
      <c r="C12" s="7"/>
      <c r="D12" s="7" t="s">
        <v>519</v>
      </c>
      <c r="E12" s="7" t="s">
        <v>520</v>
      </c>
      <c r="F12" s="21" t="s">
        <v>35</v>
      </c>
    </row>
    <row r="13" spans="3:6" x14ac:dyDescent="0.25">
      <c r="C13" s="7"/>
      <c r="D13" s="7" t="s">
        <v>519</v>
      </c>
      <c r="E13" s="7" t="s">
        <v>521</v>
      </c>
      <c r="F13" s="21" t="s">
        <v>35</v>
      </c>
    </row>
    <row r="14" spans="3:6" x14ac:dyDescent="0.25">
      <c r="C14" s="7"/>
      <c r="D14" s="7" t="s">
        <v>519</v>
      </c>
      <c r="E14" s="7" t="s">
        <v>522</v>
      </c>
      <c r="F14" s="21" t="s">
        <v>35</v>
      </c>
    </row>
    <row r="15" spans="3:6" x14ac:dyDescent="0.25">
      <c r="C15" s="7"/>
      <c r="D15" s="7" t="s">
        <v>166</v>
      </c>
      <c r="E15" s="7" t="s">
        <v>166</v>
      </c>
      <c r="F15" s="21" t="s">
        <v>35</v>
      </c>
    </row>
    <row r="16" spans="3:6" x14ac:dyDescent="0.25">
      <c r="C16" s="7"/>
      <c r="D16" s="7" t="s">
        <v>347</v>
      </c>
      <c r="E16" s="7" t="s">
        <v>347</v>
      </c>
      <c r="F16" s="21" t="s">
        <v>523</v>
      </c>
    </row>
    <row r="17" spans="3:6" x14ac:dyDescent="0.25">
      <c r="C17" s="7"/>
      <c r="D17" s="7" t="s">
        <v>348</v>
      </c>
      <c r="E17" s="7" t="s">
        <v>348</v>
      </c>
      <c r="F17" s="21" t="s">
        <v>524</v>
      </c>
    </row>
    <row r="18" spans="3:6" x14ac:dyDescent="0.25">
      <c r="C18" s="7"/>
      <c r="D18" s="7"/>
      <c r="E18" s="7" t="s">
        <v>525</v>
      </c>
      <c r="F18" s="21" t="s">
        <v>525</v>
      </c>
    </row>
    <row r="19" spans="3:6" x14ac:dyDescent="0.25">
      <c r="C19" s="7"/>
      <c r="D19" s="7"/>
      <c r="E19" s="22" t="s">
        <v>526</v>
      </c>
      <c r="F19" s="23">
        <v>1001828</v>
      </c>
    </row>
    <row r="20" spans="3:6" x14ac:dyDescent="0.25">
      <c r="C20" s="7"/>
      <c r="D20" s="7" t="s">
        <v>244</v>
      </c>
      <c r="E20" s="7" t="s">
        <v>244</v>
      </c>
      <c r="F20" s="21" t="s">
        <v>527</v>
      </c>
    </row>
    <row r="21" spans="3:6" x14ac:dyDescent="0.25">
      <c r="C21" s="7"/>
      <c r="D21" s="7"/>
      <c r="E21" s="7" t="s">
        <v>528</v>
      </c>
      <c r="F21" s="21" t="s">
        <v>528</v>
      </c>
    </row>
    <row r="22" spans="3:6" x14ac:dyDescent="0.25">
      <c r="C22" s="7"/>
      <c r="D22" s="7"/>
      <c r="E22" s="22" t="s">
        <v>529</v>
      </c>
      <c r="F22" s="23" t="s">
        <v>530</v>
      </c>
    </row>
    <row r="23" spans="3:6" x14ac:dyDescent="0.25">
      <c r="C23" s="7"/>
      <c r="D23" s="7" t="s">
        <v>531</v>
      </c>
      <c r="E23" s="24" t="s">
        <v>532</v>
      </c>
      <c r="F23" s="21">
        <v>2</v>
      </c>
    </row>
    <row r="24" spans="3:6" x14ac:dyDescent="0.25">
      <c r="C24" s="7"/>
      <c r="D24" s="7" t="s">
        <v>531</v>
      </c>
      <c r="E24" s="24" t="s">
        <v>533</v>
      </c>
      <c r="F24" s="25">
        <v>44228</v>
      </c>
    </row>
    <row r="25" spans="3:6" x14ac:dyDescent="0.25">
      <c r="C25" s="7"/>
      <c r="D25" s="7" t="s">
        <v>531</v>
      </c>
      <c r="E25" s="24" t="s">
        <v>534</v>
      </c>
      <c r="F25" s="21">
        <v>15.692307</v>
      </c>
    </row>
    <row r="26" spans="3:6" x14ac:dyDescent="0.25">
      <c r="C26" s="7"/>
      <c r="D26" s="7" t="s">
        <v>531</v>
      </c>
      <c r="E26" s="24" t="s">
        <v>535</v>
      </c>
      <c r="F26" s="21" t="s">
        <v>35</v>
      </c>
    </row>
    <row r="27" spans="3:6" x14ac:dyDescent="0.25">
      <c r="C27" s="7"/>
      <c r="D27" s="7" t="s">
        <v>531</v>
      </c>
      <c r="E27" s="24" t="s">
        <v>536</v>
      </c>
      <c r="F27" s="21" t="s">
        <v>537</v>
      </c>
    </row>
    <row r="28" spans="3:6" x14ac:dyDescent="0.25">
      <c r="C28" s="7"/>
      <c r="D28" s="7"/>
      <c r="E28" s="7" t="s">
        <v>538</v>
      </c>
      <c r="F28" s="21" t="s">
        <v>538</v>
      </c>
    </row>
    <row r="29" spans="3:6" x14ac:dyDescent="0.25">
      <c r="C29" s="7"/>
      <c r="D29" s="7"/>
      <c r="E29" s="7" t="s">
        <v>539</v>
      </c>
      <c r="F29" s="21" t="s">
        <v>540</v>
      </c>
    </row>
    <row r="30" spans="3:6" x14ac:dyDescent="0.25">
      <c r="C30" s="7"/>
      <c r="D30" s="7"/>
      <c r="E30" s="7" t="s">
        <v>541</v>
      </c>
      <c r="F30" s="21" t="s">
        <v>541</v>
      </c>
    </row>
    <row r="31" spans="3:6" x14ac:dyDescent="0.25">
      <c r="C31" s="7"/>
      <c r="D31" s="7"/>
      <c r="E31" s="22" t="s">
        <v>542</v>
      </c>
      <c r="F31" s="23">
        <v>421</v>
      </c>
    </row>
    <row r="32" spans="3:6" x14ac:dyDescent="0.25">
      <c r="C32" s="7"/>
      <c r="D32" s="7" t="s">
        <v>255</v>
      </c>
      <c r="E32" s="7" t="s">
        <v>255</v>
      </c>
      <c r="F32" s="25">
        <v>44228</v>
      </c>
    </row>
    <row r="33" spans="3:6" x14ac:dyDescent="0.25">
      <c r="C33" s="7"/>
      <c r="D33" s="7" t="s">
        <v>349</v>
      </c>
      <c r="E33" s="7" t="s">
        <v>349</v>
      </c>
      <c r="F33" s="21" t="b">
        <v>0</v>
      </c>
    </row>
    <row r="34" spans="3:6" x14ac:dyDescent="0.25">
      <c r="C34" s="7"/>
      <c r="D34" s="7" t="s">
        <v>351</v>
      </c>
      <c r="E34" s="7" t="s">
        <v>351</v>
      </c>
      <c r="F34" s="21">
        <v>100010</v>
      </c>
    </row>
    <row r="37" spans="3:6" x14ac:dyDescent="0.25">
      <c r="C37" t="s">
        <v>543</v>
      </c>
    </row>
  </sheetData>
  <sheetProtection algorithmName="SHA-512" hashValue="+/8LUYtpQNGAkJj8o5VteRAbRjeO5PHzUIBUJ28DP1AbWGeJ9csg8ir9/iaOZiWoN4akJXdD1YihpVN9rGgXvQ==" saltValue="7ycSTUhJ7HIcCndMnglbSA==" spinCount="100000" sheet="1" objects="1" scenario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D3B0F-F030-4E89-B84D-9B5D67659565}">
  <dimension ref="A1:D69"/>
  <sheetViews>
    <sheetView zoomScale="130" zoomScaleNormal="130" workbookViewId="0">
      <selection activeCell="A14" sqref="A14"/>
    </sheetView>
  </sheetViews>
  <sheetFormatPr defaultColWidth="8.5703125" defaultRowHeight="15" x14ac:dyDescent="0.25"/>
  <cols>
    <col min="1" max="1" width="34.42578125" customWidth="1"/>
    <col min="2" max="2" width="15.42578125" customWidth="1"/>
    <col min="3" max="3" width="67.5703125" customWidth="1"/>
    <col min="4" max="4" width="15.42578125" customWidth="1"/>
  </cols>
  <sheetData>
    <row r="1" spans="1:4" ht="59.25" customHeight="1" x14ac:dyDescent="0.25">
      <c r="A1" s="28" t="s">
        <v>782</v>
      </c>
      <c r="B1" s="29" t="s">
        <v>783</v>
      </c>
      <c r="C1" s="29" t="s">
        <v>784</v>
      </c>
      <c r="D1" t="s">
        <v>1394</v>
      </c>
    </row>
    <row r="2" spans="1:4" x14ac:dyDescent="0.25">
      <c r="A2" s="30" t="s">
        <v>785</v>
      </c>
      <c r="B2" s="31" t="s">
        <v>179</v>
      </c>
      <c r="C2" s="32" t="s">
        <v>786</v>
      </c>
      <c r="D2" t="s">
        <v>928</v>
      </c>
    </row>
    <row r="3" spans="1:4" x14ac:dyDescent="0.25">
      <c r="A3" s="30" t="s">
        <v>787</v>
      </c>
      <c r="B3" s="31" t="s">
        <v>179</v>
      </c>
      <c r="C3" s="32" t="s">
        <v>788</v>
      </c>
      <c r="D3" t="s">
        <v>928</v>
      </c>
    </row>
    <row r="4" spans="1:4" ht="30" x14ac:dyDescent="0.25">
      <c r="A4" s="30" t="s">
        <v>789</v>
      </c>
      <c r="B4" s="31" t="s">
        <v>179</v>
      </c>
      <c r="C4" s="32" t="s">
        <v>790</v>
      </c>
      <c r="D4" t="s">
        <v>748</v>
      </c>
    </row>
    <row r="5" spans="1:4" ht="30" x14ac:dyDescent="0.25">
      <c r="A5" s="30" t="s">
        <v>791</v>
      </c>
      <c r="B5" s="31" t="s">
        <v>179</v>
      </c>
      <c r="C5" s="32" t="s">
        <v>792</v>
      </c>
    </row>
    <row r="6" spans="1:4" x14ac:dyDescent="0.25">
      <c r="A6" s="30" t="s">
        <v>793</v>
      </c>
      <c r="B6" s="31" t="s">
        <v>179</v>
      </c>
      <c r="C6" s="32" t="s">
        <v>794</v>
      </c>
      <c r="D6" t="s">
        <v>748</v>
      </c>
    </row>
    <row r="7" spans="1:4" x14ac:dyDescent="0.25">
      <c r="A7" s="30" t="s">
        <v>795</v>
      </c>
      <c r="B7" s="31" t="s">
        <v>179</v>
      </c>
      <c r="C7" s="32" t="s">
        <v>796</v>
      </c>
      <c r="D7" t="s">
        <v>748</v>
      </c>
    </row>
    <row r="8" spans="1:4" x14ac:dyDescent="0.25">
      <c r="A8" s="30" t="s">
        <v>797</v>
      </c>
      <c r="B8" s="31" t="s">
        <v>179</v>
      </c>
      <c r="C8" s="32" t="s">
        <v>798</v>
      </c>
    </row>
    <row r="9" spans="1:4" x14ac:dyDescent="0.25">
      <c r="A9" s="30" t="s">
        <v>98</v>
      </c>
      <c r="B9" s="31" t="s">
        <v>179</v>
      </c>
      <c r="C9" s="32" t="s">
        <v>799</v>
      </c>
    </row>
    <row r="10" spans="1:4" x14ac:dyDescent="0.25">
      <c r="A10" s="30" t="s">
        <v>800</v>
      </c>
      <c r="B10" s="31" t="s">
        <v>179</v>
      </c>
      <c r="C10" s="32" t="s">
        <v>801</v>
      </c>
    </row>
    <row r="11" spans="1:4" x14ac:dyDescent="0.25">
      <c r="A11" s="30" t="s">
        <v>802</v>
      </c>
      <c r="B11" s="31" t="s">
        <v>179</v>
      </c>
      <c r="C11" s="32" t="s">
        <v>803</v>
      </c>
    </row>
    <row r="12" spans="1:4" x14ac:dyDescent="0.25">
      <c r="A12" s="33" t="s">
        <v>804</v>
      </c>
      <c r="B12" s="31" t="s">
        <v>179</v>
      </c>
      <c r="C12" s="32" t="s">
        <v>805</v>
      </c>
    </row>
    <row r="13" spans="1:4" x14ac:dyDescent="0.25">
      <c r="A13" s="30" t="s">
        <v>806</v>
      </c>
      <c r="B13" s="31" t="s">
        <v>179</v>
      </c>
      <c r="C13" s="32" t="s">
        <v>807</v>
      </c>
    </row>
    <row r="14" spans="1:4" x14ac:dyDescent="0.25">
      <c r="A14" s="30" t="s">
        <v>808</v>
      </c>
      <c r="B14" s="31" t="s">
        <v>179</v>
      </c>
      <c r="C14" s="32" t="s">
        <v>809</v>
      </c>
    </row>
    <row r="15" spans="1:4" x14ac:dyDescent="0.25">
      <c r="A15" s="30" t="s">
        <v>810</v>
      </c>
      <c r="B15" s="31" t="s">
        <v>179</v>
      </c>
      <c r="C15" s="32" t="s">
        <v>811</v>
      </c>
    </row>
    <row r="16" spans="1:4" x14ac:dyDescent="0.25">
      <c r="A16" s="30" t="s">
        <v>46</v>
      </c>
      <c r="B16" s="31" t="s">
        <v>179</v>
      </c>
      <c r="C16" s="32" t="s">
        <v>812</v>
      </c>
    </row>
    <row r="17" spans="1:4" x14ac:dyDescent="0.25">
      <c r="A17" s="30" t="s">
        <v>813</v>
      </c>
      <c r="B17" s="31" t="s">
        <v>179</v>
      </c>
      <c r="C17" s="32" t="s">
        <v>814</v>
      </c>
    </row>
    <row r="18" spans="1:4" x14ac:dyDescent="0.25">
      <c r="A18" s="30" t="s">
        <v>815</v>
      </c>
      <c r="B18" s="31" t="s">
        <v>179</v>
      </c>
      <c r="C18" s="32" t="s">
        <v>816</v>
      </c>
    </row>
    <row r="19" spans="1:4" x14ac:dyDescent="0.25">
      <c r="A19" s="30" t="s">
        <v>54</v>
      </c>
      <c r="B19" s="31" t="s">
        <v>179</v>
      </c>
      <c r="C19" s="32" t="s">
        <v>817</v>
      </c>
    </row>
    <row r="20" spans="1:4" x14ac:dyDescent="0.25">
      <c r="A20" s="30" t="s">
        <v>818</v>
      </c>
      <c r="B20" s="31" t="s">
        <v>179</v>
      </c>
      <c r="C20" s="32" t="s">
        <v>355</v>
      </c>
    </row>
    <row r="21" spans="1:4" x14ac:dyDescent="0.25">
      <c r="A21" s="30" t="s">
        <v>819</v>
      </c>
      <c r="B21" s="31" t="s">
        <v>179</v>
      </c>
      <c r="C21" s="32" t="s">
        <v>820</v>
      </c>
    </row>
    <row r="22" spans="1:4" x14ac:dyDescent="0.25">
      <c r="A22" s="30" t="s">
        <v>821</v>
      </c>
      <c r="B22" s="31" t="s">
        <v>179</v>
      </c>
      <c r="C22" s="32" t="s">
        <v>822</v>
      </c>
    </row>
    <row r="23" spans="1:4" x14ac:dyDescent="0.25">
      <c r="A23" s="30" t="s">
        <v>823</v>
      </c>
      <c r="B23" s="31" t="s">
        <v>179</v>
      </c>
      <c r="C23" s="32" t="s">
        <v>824</v>
      </c>
    </row>
    <row r="24" spans="1:4" x14ac:dyDescent="0.25">
      <c r="A24" s="30" t="s">
        <v>825</v>
      </c>
      <c r="B24" s="31" t="s">
        <v>179</v>
      </c>
      <c r="C24" s="32" t="s">
        <v>826</v>
      </c>
    </row>
    <row r="25" spans="1:4" x14ac:dyDescent="0.25">
      <c r="A25" s="30" t="s">
        <v>166</v>
      </c>
      <c r="B25" s="31" t="s">
        <v>179</v>
      </c>
      <c r="C25" s="32" t="s">
        <v>827</v>
      </c>
    </row>
    <row r="26" spans="1:4" x14ac:dyDescent="0.25">
      <c r="A26" s="30" t="s">
        <v>828</v>
      </c>
      <c r="B26" s="31" t="s">
        <v>179</v>
      </c>
      <c r="C26" s="32" t="s">
        <v>829</v>
      </c>
    </row>
    <row r="27" spans="1:4" x14ac:dyDescent="0.25">
      <c r="A27" s="30" t="s">
        <v>830</v>
      </c>
      <c r="B27" s="31" t="s">
        <v>179</v>
      </c>
      <c r="C27" s="32" t="s">
        <v>831</v>
      </c>
    </row>
    <row r="28" spans="1:4" x14ac:dyDescent="0.25">
      <c r="A28" s="30" t="s">
        <v>740</v>
      </c>
      <c r="B28" s="31" t="s">
        <v>179</v>
      </c>
      <c r="C28" s="32" t="s">
        <v>741</v>
      </c>
      <c r="D28" t="s">
        <v>748</v>
      </c>
    </row>
    <row r="29" spans="1:4" x14ac:dyDescent="0.25">
      <c r="A29" s="30" t="s">
        <v>832</v>
      </c>
      <c r="B29" s="31" t="s">
        <v>179</v>
      </c>
      <c r="C29" s="32" t="s">
        <v>833</v>
      </c>
    </row>
    <row r="30" spans="1:4" x14ac:dyDescent="0.25">
      <c r="A30" s="30" t="s">
        <v>834</v>
      </c>
      <c r="B30" s="31" t="s">
        <v>179</v>
      </c>
      <c r="C30" s="32" t="s">
        <v>835</v>
      </c>
    </row>
    <row r="31" spans="1:4" x14ac:dyDescent="0.25">
      <c r="A31" s="30" t="s">
        <v>836</v>
      </c>
      <c r="B31" s="31" t="s">
        <v>179</v>
      </c>
      <c r="C31" s="32" t="s">
        <v>837</v>
      </c>
    </row>
    <row r="32" spans="1:4" x14ac:dyDescent="0.25">
      <c r="A32" s="30" t="s">
        <v>838</v>
      </c>
      <c r="B32" s="31" t="s">
        <v>179</v>
      </c>
      <c r="C32" s="32" t="s">
        <v>839</v>
      </c>
    </row>
    <row r="33" spans="1:3" x14ac:dyDescent="0.25">
      <c r="A33" s="30" t="s">
        <v>840</v>
      </c>
      <c r="B33" s="31" t="s">
        <v>179</v>
      </c>
      <c r="C33" s="32" t="s">
        <v>841</v>
      </c>
    </row>
    <row r="34" spans="1:3" x14ac:dyDescent="0.25">
      <c r="A34" s="30" t="s">
        <v>842</v>
      </c>
      <c r="B34" s="31" t="s">
        <v>179</v>
      </c>
      <c r="C34" s="32" t="s">
        <v>843</v>
      </c>
    </row>
    <row r="35" spans="1:3" x14ac:dyDescent="0.25">
      <c r="A35" s="30" t="s">
        <v>844</v>
      </c>
      <c r="B35" s="31" t="s">
        <v>179</v>
      </c>
      <c r="C35" s="32" t="s">
        <v>845</v>
      </c>
    </row>
    <row r="36" spans="1:3" x14ac:dyDescent="0.25">
      <c r="A36" s="30" t="s">
        <v>846</v>
      </c>
      <c r="B36" s="31" t="s">
        <v>179</v>
      </c>
      <c r="C36" s="32" t="s">
        <v>847</v>
      </c>
    </row>
    <row r="37" spans="1:3" x14ac:dyDescent="0.25">
      <c r="A37" s="30" t="s">
        <v>848</v>
      </c>
      <c r="B37" s="31" t="s">
        <v>179</v>
      </c>
      <c r="C37" s="32" t="s">
        <v>849</v>
      </c>
    </row>
    <row r="38" spans="1:3" x14ac:dyDescent="0.25">
      <c r="A38" s="30" t="s">
        <v>850</v>
      </c>
      <c r="B38" s="31" t="s">
        <v>179</v>
      </c>
      <c r="C38" s="32" t="s">
        <v>851</v>
      </c>
    </row>
    <row r="39" spans="1:3" x14ac:dyDescent="0.25">
      <c r="A39" s="30" t="s">
        <v>852</v>
      </c>
      <c r="B39" s="31" t="s">
        <v>179</v>
      </c>
      <c r="C39" s="32" t="s">
        <v>853</v>
      </c>
    </row>
    <row r="40" spans="1:3" x14ac:dyDescent="0.25">
      <c r="A40" s="30" t="s">
        <v>854</v>
      </c>
      <c r="B40" s="31" t="s">
        <v>179</v>
      </c>
      <c r="C40" s="32" t="s">
        <v>855</v>
      </c>
    </row>
    <row r="41" spans="1:3" x14ac:dyDescent="0.25">
      <c r="A41" s="30" t="s">
        <v>856</v>
      </c>
      <c r="B41" s="31" t="s">
        <v>179</v>
      </c>
      <c r="C41" s="32" t="s">
        <v>857</v>
      </c>
    </row>
    <row r="42" spans="1:3" x14ac:dyDescent="0.25">
      <c r="A42" s="30" t="s">
        <v>99</v>
      </c>
      <c r="B42" s="31" t="s">
        <v>179</v>
      </c>
      <c r="C42" s="32" t="s">
        <v>858</v>
      </c>
    </row>
    <row r="43" spans="1:3" x14ac:dyDescent="0.25">
      <c r="A43" s="30" t="s">
        <v>859</v>
      </c>
      <c r="B43" s="31" t="s">
        <v>860</v>
      </c>
    </row>
    <row r="44" spans="1:3" x14ac:dyDescent="0.25">
      <c r="A44" s="34" t="s">
        <v>46</v>
      </c>
      <c r="B44" s="31" t="s">
        <v>179</v>
      </c>
      <c r="C44" s="32" t="s">
        <v>861</v>
      </c>
    </row>
    <row r="45" spans="1:3" x14ac:dyDescent="0.25">
      <c r="A45" s="34" t="s">
        <v>98</v>
      </c>
      <c r="B45" s="31" t="s">
        <v>179</v>
      </c>
      <c r="C45" s="32" t="s">
        <v>862</v>
      </c>
    </row>
    <row r="46" spans="1:3" x14ac:dyDescent="0.25">
      <c r="A46" s="34" t="s">
        <v>99</v>
      </c>
      <c r="B46" s="31" t="s">
        <v>179</v>
      </c>
      <c r="C46" s="32" t="s">
        <v>863</v>
      </c>
    </row>
    <row r="47" spans="1:3" x14ac:dyDescent="0.25">
      <c r="A47" s="30" t="s">
        <v>864</v>
      </c>
      <c r="B47" s="35" t="s">
        <v>860</v>
      </c>
    </row>
    <row r="48" spans="1:3" x14ac:dyDescent="0.25">
      <c r="A48" s="34" t="s">
        <v>0</v>
      </c>
      <c r="B48" s="31" t="s">
        <v>179</v>
      </c>
      <c r="C48" s="32" t="s">
        <v>865</v>
      </c>
    </row>
    <row r="49" spans="1:3" x14ac:dyDescent="0.25">
      <c r="A49" s="34" t="s">
        <v>785</v>
      </c>
      <c r="B49" s="31" t="s">
        <v>179</v>
      </c>
      <c r="C49" s="32" t="s">
        <v>866</v>
      </c>
    </row>
    <row r="50" spans="1:3" x14ac:dyDescent="0.25">
      <c r="A50" s="34" t="s">
        <v>787</v>
      </c>
      <c r="B50" s="31" t="s">
        <v>179</v>
      </c>
      <c r="C50" s="32" t="s">
        <v>867</v>
      </c>
    </row>
    <row r="51" spans="1:3" x14ac:dyDescent="0.25">
      <c r="A51" s="34" t="s">
        <v>868</v>
      </c>
      <c r="B51" s="31" t="s">
        <v>179</v>
      </c>
      <c r="C51" s="32" t="s">
        <v>869</v>
      </c>
    </row>
    <row r="52" spans="1:3" x14ac:dyDescent="0.25">
      <c r="A52" s="30"/>
      <c r="B52" s="30"/>
    </row>
    <row r="53" spans="1:3" x14ac:dyDescent="0.25">
      <c r="A53" s="30"/>
    </row>
    <row r="54" spans="1:3" x14ac:dyDescent="0.25">
      <c r="A54" s="30"/>
      <c r="B54" s="30"/>
    </row>
    <row r="55" spans="1:3" x14ac:dyDescent="0.25">
      <c r="A55" s="30"/>
      <c r="B55" s="30"/>
    </row>
    <row r="56" spans="1:3" x14ac:dyDescent="0.25">
      <c r="A56" s="30"/>
      <c r="B56" s="30"/>
    </row>
    <row r="57" spans="1:3" x14ac:dyDescent="0.25">
      <c r="A57" s="30"/>
      <c r="B57" s="30"/>
    </row>
    <row r="58" spans="1:3" x14ac:dyDescent="0.25">
      <c r="A58" s="30"/>
    </row>
    <row r="59" spans="1:3" x14ac:dyDescent="0.25">
      <c r="A59" s="30"/>
      <c r="B59" s="30"/>
    </row>
    <row r="60" spans="1:3" x14ac:dyDescent="0.25">
      <c r="A60" s="30"/>
      <c r="B60" s="30"/>
    </row>
    <row r="61" spans="1:3" x14ac:dyDescent="0.25">
      <c r="A61" s="30"/>
      <c r="B61" s="30"/>
    </row>
    <row r="62" spans="1:3" x14ac:dyDescent="0.25">
      <c r="A62" s="30"/>
      <c r="B62" s="30"/>
    </row>
    <row r="63" spans="1:3" x14ac:dyDescent="0.25">
      <c r="A63" s="30"/>
    </row>
    <row r="64" spans="1:3" x14ac:dyDescent="0.25">
      <c r="A64" s="30"/>
      <c r="B64" s="30"/>
    </row>
    <row r="65" spans="1:2" x14ac:dyDescent="0.25">
      <c r="A65" s="30"/>
      <c r="B65" s="30"/>
    </row>
    <row r="66" spans="1:2" x14ac:dyDescent="0.25">
      <c r="A66" s="30"/>
      <c r="B66" s="30"/>
    </row>
    <row r="67" spans="1:2" x14ac:dyDescent="0.25">
      <c r="A67" s="30"/>
      <c r="B67" s="30"/>
    </row>
    <row r="68" spans="1:2" x14ac:dyDescent="0.25">
      <c r="A68" s="30"/>
      <c r="B68" s="30"/>
    </row>
    <row r="69" spans="1:2" x14ac:dyDescent="0.25">
      <c r="A69" s="36" t="s">
        <v>870</v>
      </c>
    </row>
  </sheetData>
  <sheetProtection algorithmName="SHA-512" hashValue="JFbVTvCmctjiOxuh7XUHblPmhC5AC0FPDEuz0qDGSwECnLLD2+xVNdZ8cbCSgauxksbBjU6kNKg2SA3zMn/HyA==" saltValue="sH4rySXr6YQYH8EhMcl4Kg==" spinCount="100000" sheet="1" objects="1" scenarios="1"/>
  <autoFilter ref="A1:C51" xr:uid="{E4194E8E-B97A-4737-AA73-92F88CD2BA1A}"/>
  <pageMargins left="0.7" right="0.7" top="0.75" bottom="0.75" header="0.3" footer="0.3"/>
  <pageSetup paperSize="9"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7F5DF2D805AC046AA922848C2C10A0F" ma:contentTypeVersion="13" ma:contentTypeDescription="Create a new document." ma:contentTypeScope="" ma:versionID="3a5cee6e03d81c4c0c5b25ab6765030e">
  <xsd:schema xmlns:xsd="http://www.w3.org/2001/XMLSchema" xmlns:xs="http://www.w3.org/2001/XMLSchema" xmlns:p="http://schemas.microsoft.com/office/2006/metadata/properties" xmlns:ns2="23e8b38f-0fdc-4128-8940-0ff57ea5e6a1" xmlns:ns3="307162f0-cebd-4bde-83fb-bfd969274c46" targetNamespace="http://schemas.microsoft.com/office/2006/metadata/properties" ma:root="true" ma:fieldsID="0f6e40d75c7922ef39ee7a740b3d2793" ns2:_="" ns3:_="">
    <xsd:import namespace="23e8b38f-0fdc-4128-8940-0ff57ea5e6a1"/>
    <xsd:import namespace="307162f0-cebd-4bde-83fb-bfd969274c4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lcf76f155ced4ddcb4097134ff3c332f" minOccurs="0"/>
                <xsd:element ref="ns3:TaxCatchAll"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3e8b38f-0fdc-4128-8940-0ff57ea5e6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11bc8d8d-7bee-4761-a2c6-872dbd08cc29" ma:termSetId="09814cd3-568e-fe90-9814-8d621ff8fb84" ma:anchorId="fba54fb3-c3e1-fe81-a776-ca4b69148c4d" ma:open="true" ma:isKeyword="false">
      <xsd:complexType>
        <xsd:sequence>
          <xsd:element ref="pc:Terms" minOccurs="0" maxOccurs="1"/>
        </xsd:sequence>
      </xsd:complex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07162f0-cebd-4bde-83fb-bfd969274c4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8" nillable="true" ma:displayName="Taxonomy Catch All Column" ma:hidden="true" ma:list="{2bb03b1e-626b-4284-9a14-48a67c497cc0}" ma:internalName="TaxCatchAll" ma:showField="CatchAllData" ma:web="307162f0-cebd-4bde-83fb-bfd969274c4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307162f0-cebd-4bde-83fb-bfd969274c46" xsi:nil="true"/>
    <lcf76f155ced4ddcb4097134ff3c332f xmlns="23e8b38f-0fdc-4128-8940-0ff57ea5e6a1">
      <Terms xmlns="http://schemas.microsoft.com/office/infopath/2007/PartnerControls"/>
    </lcf76f155ced4ddcb4097134ff3c332f>
    <MediaLengthInSeconds xmlns="23e8b38f-0fdc-4128-8940-0ff57ea5e6a1" xsi:nil="true"/>
    <SharedWithUsers xmlns="307162f0-cebd-4bde-83fb-bfd969274c46">
      <UserInfo>
        <DisplayName>Stina Oehm</DisplayName>
        <AccountId>72</AccountId>
        <AccountType/>
      </UserInfo>
    </SharedWithUsers>
  </documentManagement>
</p:properties>
</file>

<file path=customXml/itemProps1.xml><?xml version="1.0" encoding="utf-8"?>
<ds:datastoreItem xmlns:ds="http://schemas.openxmlformats.org/officeDocument/2006/customXml" ds:itemID="{D226DCAD-F4C5-4C86-82B9-15F860E1A1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3e8b38f-0fdc-4128-8940-0ff57ea5e6a1"/>
    <ds:schemaRef ds:uri="307162f0-cebd-4bde-83fb-bfd969274c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DC40543-EDD0-496B-8BA1-3E771BF020B6}">
  <ds:schemaRefs>
    <ds:schemaRef ds:uri="http://schemas.microsoft.com/sharepoint/v3/contenttype/forms"/>
  </ds:schemaRefs>
</ds:datastoreItem>
</file>

<file path=customXml/itemProps3.xml><?xml version="1.0" encoding="utf-8"?>
<ds:datastoreItem xmlns:ds="http://schemas.openxmlformats.org/officeDocument/2006/customXml" ds:itemID="{FA07A2FC-76C8-4975-89CC-2539FC564F81}">
  <ds:schemaRefs>
    <ds:schemaRef ds:uri="http://purl.org/dc/terms/"/>
    <ds:schemaRef ds:uri="http://www.w3.org/XML/1998/namespace"/>
    <ds:schemaRef ds:uri="http://purl.org/dc/dcmitype/"/>
    <ds:schemaRef ds:uri="http://purl.org/dc/elements/1.1/"/>
    <ds:schemaRef ds:uri="http://schemas.microsoft.com/office/infopath/2007/PartnerControls"/>
    <ds:schemaRef ds:uri="http://schemas.microsoft.com/office/2006/documentManagement/types"/>
    <ds:schemaRef ds:uri="http://schemas.microsoft.com/office/2006/metadata/properties"/>
    <ds:schemaRef ds:uri="23e8b38f-0fdc-4128-8940-0ff57ea5e6a1"/>
    <ds:schemaRef ds:uri="http://schemas.openxmlformats.org/package/2006/metadata/core-properties"/>
    <ds:schemaRef ds:uri="307162f0-cebd-4bde-83fb-bfd969274c46"/>
  </ds:schemaRefs>
</ds:datastoreItem>
</file>

<file path=docMetadata/LabelInfo.xml><?xml version="1.0" encoding="utf-8"?>
<clbl:labelList xmlns:clbl="http://schemas.microsoft.com/office/2020/mipLabelMetadata">
  <clbl:label id="{ebc3e520-ef61-404c-9884-8037d87292c9}" enabled="0" method="" siteId="{ebc3e520-ef61-404c-9884-8037d87292c9}"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4</vt:i4>
      </vt:variant>
    </vt:vector>
  </HeadingPairs>
  <TitlesOfParts>
    <vt:vector size="18" baseType="lpstr">
      <vt:lpstr>Data Information Catalog</vt:lpstr>
      <vt:lpstr>Data Information Catalog - Smhl</vt:lpstr>
      <vt:lpstr>Version</vt:lpstr>
      <vt:lpstr>Sankey</vt:lpstr>
      <vt:lpstr>Schedule transfered</vt:lpstr>
      <vt:lpstr>TimePunch partly transfered</vt:lpstr>
      <vt:lpstr>Report fields to name</vt:lpstr>
      <vt:lpstr>GetScheduleV3</vt:lpstr>
      <vt:lpstr>GetDeletedSchedules</vt:lpstr>
      <vt:lpstr>GetTimepunches</vt:lpstr>
      <vt:lpstr>GetUnits</vt:lpstr>
      <vt:lpstr>GetPayrollV2</vt:lpstr>
      <vt:lpstr>Tags</vt:lpstr>
      <vt:lpstr>SF Person</vt:lpstr>
      <vt:lpstr>GetScheduleV3!_19qbthxn5fv5</vt:lpstr>
      <vt:lpstr>GetScheduleV3!_koudkehd0q41</vt:lpstr>
      <vt:lpstr>GetScheduleV3!_ksut3c61bs9j</vt:lpstr>
      <vt:lpstr>GetScheduleV3!_ok85lg6x2a18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Magnus.Vikstrom@samhall.se</dc:creator>
  <cp:lastModifiedBy>Markella Nikolopoulou-Themeli</cp:lastModifiedBy>
  <dcterms:created xsi:type="dcterms:W3CDTF">2021-02-11T11:34:46Z</dcterms:created>
  <dcterms:modified xsi:type="dcterms:W3CDTF">2023-05-26T08:31:10Z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0x010100E7F5DF2D805AC046AA922848C2C10A0F</vt:lpwstr>
  </property>
  <property fmtid="{D5CDD505-2E9C-101B-9397-08002B2CF9AE}" pid="3" name="MediaServiceImageTags">
    <vt:lpwstr/>
  </property>
  <property fmtid="{D5CDD505-2E9C-101B-9397-08002B2CF9AE}" pid="4" name="Order">
    <vt:r8>34000</vt:r8>
  </property>
  <property fmtid="{D5CDD505-2E9C-101B-9397-08002B2CF9AE}" pid="5" name="xd_Signature">
    <vt:bool>false</vt:bool>
  </property>
  <property fmtid="{D5CDD505-2E9C-101B-9397-08002B2CF9AE}" pid="6" name="xd_ProgID">
    <vt:lpwstr/>
  </property>
  <property fmtid="{D5CDD505-2E9C-101B-9397-08002B2CF9AE}" pid="7" name="_ExtendedDescription">
    <vt:lpwstr/>
  </property>
  <property fmtid="{D5CDD505-2E9C-101B-9397-08002B2CF9AE}" pid="8" name="TriggerFlowInfo">
    <vt:lpwstr/>
  </property>
  <property fmtid="{D5CDD505-2E9C-101B-9397-08002B2CF9AE}" pid="9" name="ComplianceAssetId">
    <vt:lpwstr/>
  </property>
  <property fmtid="{D5CDD505-2E9C-101B-9397-08002B2CF9AE}" pid="10" name="TemplateUrl">
    <vt:lpwstr/>
  </property>
</Properties>
</file>